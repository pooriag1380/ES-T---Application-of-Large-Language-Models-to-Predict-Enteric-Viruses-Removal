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ooria\Dropbox\EPA Project\Paper V2\Submission\Spreadsheets\"/>
    </mc:Choice>
  </mc:AlternateContent>
  <xr:revisionPtr revIDLastSave="0" documentId="13_ncr:1_{6BFAE011-B448-4A8C-9C1E-2E2B08A29B6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<sst xmlns="http://schemas.openxmlformats.org/spreadsheetml/2006/main" count="488" uniqueCount="61">
  <si>
    <t>Location</t>
  </si>
  <si>
    <t>Name of Facility</t>
  </si>
  <si>
    <t>Season</t>
  </si>
  <si>
    <t>date</t>
  </si>
  <si>
    <t>capacity (MD)</t>
  </si>
  <si>
    <t>PS</t>
  </si>
  <si>
    <t>ASP</t>
  </si>
  <si>
    <t>UV</t>
  </si>
  <si>
    <t>MBR</t>
  </si>
  <si>
    <t>Cl</t>
  </si>
  <si>
    <t>BNR</t>
  </si>
  <si>
    <t>SF</t>
  </si>
  <si>
    <t>Temp_inf (C)</t>
  </si>
  <si>
    <t>Temp_eff (C)</t>
  </si>
  <si>
    <t>TSS_inf (mg/L)</t>
  </si>
  <si>
    <t>TSS_eff (mg/L)</t>
  </si>
  <si>
    <t>pH_inf</t>
  </si>
  <si>
    <t>pH_eff</t>
  </si>
  <si>
    <t>Ammonia_inf (mg/L)</t>
  </si>
  <si>
    <t>Ammonia_eff (mg/L)</t>
  </si>
  <si>
    <t>BOD_inf (mg/L)</t>
  </si>
  <si>
    <t>BOD_eff (mg/L)</t>
  </si>
  <si>
    <t>Somatic_inf (PFU/ml)</t>
  </si>
  <si>
    <t>Somatic_eff (PFU/ml)</t>
  </si>
  <si>
    <t>Fspecific_inf (PFU/ml)</t>
  </si>
  <si>
    <t>Fspecific_eff (PFU/ml)</t>
  </si>
  <si>
    <t>PMMoV_inf (cop/ml)</t>
  </si>
  <si>
    <t>PMMoV_eff (cop/ml)</t>
  </si>
  <si>
    <t>ToBRFV_inf (cop/ml)</t>
  </si>
  <si>
    <t>ToBRFV_eff (cop/ml)</t>
  </si>
  <si>
    <t>CrA_inf (cop/ml)</t>
  </si>
  <si>
    <t>CrA_eff (cop/ml)</t>
  </si>
  <si>
    <t>Ade_inf (cop/ml)</t>
  </si>
  <si>
    <t>Ade_eff (cop/ml)</t>
  </si>
  <si>
    <t>Ent_inf (cop/ml)</t>
  </si>
  <si>
    <t>Ent_eff (cop/ml)</t>
  </si>
  <si>
    <t>Nor1_inf (cop/ml)</t>
  </si>
  <si>
    <t>Nor1_eff (cop/ml)</t>
  </si>
  <si>
    <t>Nor2_inf (cop/ml)</t>
  </si>
  <si>
    <t>Nor2_eff (cop/ml)</t>
  </si>
  <si>
    <t>Processes</t>
  </si>
  <si>
    <t>Physico-chemical parameters</t>
  </si>
  <si>
    <t>Viral surrogates</t>
  </si>
  <si>
    <t>Enteric Viruses</t>
  </si>
  <si>
    <t>Honolulu</t>
  </si>
  <si>
    <t>East Honolulu Wastewater Treatment Plant (EHI)</t>
  </si>
  <si>
    <t>Spring</t>
  </si>
  <si>
    <t>Summer</t>
  </si>
  <si>
    <t>Fall</t>
  </si>
  <si>
    <t>Irvine</t>
  </si>
  <si>
    <t>Irvine Ranch Michelson Water Reclamation Plant (ICA)</t>
  </si>
  <si>
    <t>Winter</t>
  </si>
  <si>
    <t>Utah</t>
  </si>
  <si>
    <t>Central Valley Water Reclamation Facility (CUT)</t>
  </si>
  <si>
    <t>Davis</t>
  </si>
  <si>
    <t>Baltimore</t>
  </si>
  <si>
    <t>UC Davis Wastewater Treatment Plant (UCD)</t>
  </si>
  <si>
    <t>Back Water Treatment Plant (BMD)</t>
  </si>
  <si>
    <t>NaN</t>
  </si>
  <si>
    <t>X_isBDL</t>
  </si>
  <si>
    <t>SRT (day)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</si>
</sst>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6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"/>
  <sheetViews>
    <sheetView tabSelected="1" zoomScale="9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33" sqref="G33"/>
    </sheetView>
  </sheetViews>
  <sheetFormatPr defaultRowHeight="15" x14ac:dyDescent="0.25"/>
  <cols>
    <col min="2" max="2" width="25.42578125" customWidth="1"/>
    <col min="4" max="5" width="12.7109375" customWidth="1"/>
    <col min="6" max="6" width="12.5703125" customWidth="1"/>
    <col min="14" max="19" width="10.28515625" customWidth="1"/>
    <col min="20" max="21" width="14.85546875" customWidth="1"/>
    <col min="22" max="23" width="10.28515625" customWidth="1"/>
    <col min="24" max="31" width="14.7109375" customWidth="1"/>
    <col min="32" max="32" width="11.85546875" customWidth="1"/>
    <col min="33" max="33" width="11.28515625" customWidth="1"/>
    <col min="34" max="41" width="12.28515625" customWidth="1"/>
  </cols>
  <sheetData>
    <row r="1" spans="1:41" ht="28.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60</v>
      </c>
      <c r="G1" s="6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6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5" t="s">
        <v>21</v>
      </c>
      <c r="X1" s="6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5" t="s">
        <v>31</v>
      </c>
      <c r="AH1" s="6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7" t="s">
        <v>39</v>
      </c>
    </row>
    <row r="2" spans="1:41" ht="23.45" customHeight="1" thickBot="1" x14ac:dyDescent="0.3">
      <c r="A2" s="8"/>
      <c r="B2" s="9"/>
      <c r="C2" s="9"/>
      <c r="D2" s="9"/>
      <c r="E2" s="9"/>
      <c r="F2" s="9"/>
      <c r="G2" s="71" t="s">
        <v>40</v>
      </c>
      <c r="H2" s="72"/>
      <c r="I2" s="72"/>
      <c r="J2" s="72"/>
      <c r="K2" s="72"/>
      <c r="L2" s="72"/>
      <c r="M2" s="73"/>
      <c r="N2" s="71" t="s">
        <v>41</v>
      </c>
      <c r="O2" s="72"/>
      <c r="P2" s="72"/>
      <c r="Q2" s="72"/>
      <c r="R2" s="72"/>
      <c r="S2" s="72"/>
      <c r="T2" s="72"/>
      <c r="U2" s="72"/>
      <c r="V2" s="72"/>
      <c r="W2" s="73"/>
      <c r="X2" s="71" t="s">
        <v>42</v>
      </c>
      <c r="Y2" s="72"/>
      <c r="Z2" s="72"/>
      <c r="AA2" s="72"/>
      <c r="AB2" s="72"/>
      <c r="AC2" s="72"/>
      <c r="AD2" s="72"/>
      <c r="AE2" s="72"/>
      <c r="AF2" s="72"/>
      <c r="AG2" s="73"/>
      <c r="AH2" s="71" t="s">
        <v>43</v>
      </c>
      <c r="AI2" s="72"/>
      <c r="AJ2" s="72"/>
      <c r="AK2" s="72"/>
      <c r="AL2" s="72"/>
      <c r="AM2" s="72"/>
      <c r="AN2" s="72"/>
      <c r="AO2" s="74"/>
    </row>
    <row r="3" spans="1:41" x14ac:dyDescent="0.25">
      <c r="A3" s="75" t="s">
        <v>44</v>
      </c>
      <c r="B3" s="78" t="s">
        <v>45</v>
      </c>
      <c r="C3" s="10" t="s">
        <v>46</v>
      </c>
      <c r="D3" s="11">
        <v>45062</v>
      </c>
      <c r="E3" s="10">
        <v>3.5</v>
      </c>
      <c r="F3" s="10">
        <v>5.5</v>
      </c>
      <c r="G3" s="13">
        <v>1</v>
      </c>
      <c r="H3" s="10">
        <v>1</v>
      </c>
      <c r="I3" s="10">
        <v>1</v>
      </c>
      <c r="J3" s="10">
        <v>0</v>
      </c>
      <c r="K3" s="10">
        <v>0</v>
      </c>
      <c r="L3" s="10">
        <v>0</v>
      </c>
      <c r="M3" s="12">
        <v>0</v>
      </c>
      <c r="N3" s="13">
        <v>26.3</v>
      </c>
      <c r="O3" s="10">
        <v>26.7</v>
      </c>
      <c r="P3" s="10">
        <v>105.3</v>
      </c>
      <c r="Q3" s="10">
        <v>2.2000000000000002</v>
      </c>
      <c r="R3" s="10">
        <v>7.5</v>
      </c>
      <c r="S3" s="10">
        <v>6.87</v>
      </c>
      <c r="T3" s="10">
        <v>18</v>
      </c>
      <c r="U3" s="10">
        <v>5.2</v>
      </c>
      <c r="V3" s="10">
        <v>106.1</v>
      </c>
      <c r="W3" s="12">
        <v>2.4</v>
      </c>
      <c r="X3" s="30">
        <v>2452</v>
      </c>
      <c r="Y3" s="23" t="s">
        <v>59</v>
      </c>
      <c r="Z3" s="23">
        <v>11</v>
      </c>
      <c r="AA3" s="23" t="s">
        <v>59</v>
      </c>
      <c r="AB3" s="23">
        <v>270546344.60000002</v>
      </c>
      <c r="AC3" s="23">
        <v>17442920.969999999</v>
      </c>
      <c r="AD3" s="23">
        <v>263722887.5</v>
      </c>
      <c r="AE3" s="23">
        <v>17138413.719999999</v>
      </c>
      <c r="AF3" s="36" t="s">
        <v>58</v>
      </c>
      <c r="AG3" s="37" t="s">
        <v>58</v>
      </c>
      <c r="AH3" s="23">
        <v>21556.25</v>
      </c>
      <c r="AI3" s="25" t="s">
        <v>59</v>
      </c>
      <c r="AJ3" s="23">
        <v>1140.03</v>
      </c>
      <c r="AK3" s="23" t="s">
        <v>59</v>
      </c>
      <c r="AL3" s="23">
        <v>132184.98000000001</v>
      </c>
      <c r="AM3" s="23">
        <v>2421.1999999999998</v>
      </c>
      <c r="AN3" s="23">
        <v>195699.07</v>
      </c>
      <c r="AO3" s="24">
        <v>7120.23</v>
      </c>
    </row>
    <row r="4" spans="1:41" x14ac:dyDescent="0.25">
      <c r="A4" s="76"/>
      <c r="B4" s="79"/>
      <c r="C4" s="14" t="s">
        <v>46</v>
      </c>
      <c r="D4" s="15">
        <v>45063</v>
      </c>
      <c r="E4" s="14">
        <v>3.5</v>
      </c>
      <c r="F4" s="14">
        <v>5.5</v>
      </c>
      <c r="G4" s="2">
        <v>1</v>
      </c>
      <c r="H4" s="14">
        <v>1</v>
      </c>
      <c r="I4" s="14">
        <v>1</v>
      </c>
      <c r="J4" s="14">
        <v>0</v>
      </c>
      <c r="K4" s="14">
        <v>0</v>
      </c>
      <c r="L4" s="14">
        <v>0</v>
      </c>
      <c r="M4" s="1">
        <v>0</v>
      </c>
      <c r="N4" s="2">
        <v>25.9</v>
      </c>
      <c r="O4" s="14">
        <v>26.6</v>
      </c>
      <c r="P4" s="14">
        <v>160</v>
      </c>
      <c r="Q4" s="14">
        <v>6.2</v>
      </c>
      <c r="R4" s="14">
        <v>7.53</v>
      </c>
      <c r="S4" s="14">
        <v>6.93</v>
      </c>
      <c r="T4" s="14">
        <v>19</v>
      </c>
      <c r="U4" s="14">
        <v>4.5999999999999996</v>
      </c>
      <c r="V4" s="14">
        <v>117.3</v>
      </c>
      <c r="W4" s="1">
        <v>2.2999999999999998</v>
      </c>
      <c r="X4" s="32">
        <v>6120</v>
      </c>
      <c r="Y4" s="25">
        <v>0.1</v>
      </c>
      <c r="Z4" s="25">
        <v>20</v>
      </c>
      <c r="AA4" s="25" t="s">
        <v>59</v>
      </c>
      <c r="AB4" s="25">
        <v>605390072.69000006</v>
      </c>
      <c r="AC4" s="25">
        <v>24402411.129999999</v>
      </c>
      <c r="AD4" s="25">
        <v>572222094.48000002</v>
      </c>
      <c r="AE4" s="25">
        <v>21037592.510000002</v>
      </c>
      <c r="AF4" s="35" t="s">
        <v>58</v>
      </c>
      <c r="AG4" s="38" t="s">
        <v>58</v>
      </c>
      <c r="AH4" s="25">
        <v>10580.17</v>
      </c>
      <c r="AI4" s="25" t="s">
        <v>59</v>
      </c>
      <c r="AJ4" s="25">
        <v>70.14</v>
      </c>
      <c r="AK4" s="25" t="s">
        <v>59</v>
      </c>
      <c r="AL4" s="25">
        <v>184070.68</v>
      </c>
      <c r="AM4" s="25">
        <v>4246.53</v>
      </c>
      <c r="AN4" s="25">
        <v>849816.84</v>
      </c>
      <c r="AO4" s="26">
        <v>3931.86</v>
      </c>
    </row>
    <row r="5" spans="1:41" x14ac:dyDescent="0.25">
      <c r="A5" s="76"/>
      <c r="B5" s="79"/>
      <c r="C5" s="14" t="s">
        <v>46</v>
      </c>
      <c r="D5" s="15">
        <v>45064</v>
      </c>
      <c r="E5" s="14">
        <v>3.5</v>
      </c>
      <c r="F5" s="14">
        <v>5.5</v>
      </c>
      <c r="G5" s="2">
        <v>1</v>
      </c>
      <c r="H5" s="14">
        <v>1</v>
      </c>
      <c r="I5" s="14">
        <v>1</v>
      </c>
      <c r="J5" s="14">
        <v>0</v>
      </c>
      <c r="K5" s="14">
        <v>0</v>
      </c>
      <c r="L5" s="14">
        <v>0</v>
      </c>
      <c r="M5" s="1">
        <v>0</v>
      </c>
      <c r="N5" s="2">
        <v>25.8</v>
      </c>
      <c r="O5" s="14">
        <v>26.9</v>
      </c>
      <c r="P5" s="14">
        <v>161</v>
      </c>
      <c r="Q5" s="14">
        <v>8.1</v>
      </c>
      <c r="R5" s="14">
        <v>7.52</v>
      </c>
      <c r="S5" s="14">
        <v>6.89</v>
      </c>
      <c r="T5" s="14">
        <v>18</v>
      </c>
      <c r="U5" s="14">
        <v>1.3</v>
      </c>
      <c r="V5" s="20" t="s">
        <v>58</v>
      </c>
      <c r="W5" s="20" t="s">
        <v>58</v>
      </c>
      <c r="X5" s="32">
        <v>5468</v>
      </c>
      <c r="Y5" s="25">
        <v>0.19500000000000001</v>
      </c>
      <c r="Z5" s="25">
        <v>194</v>
      </c>
      <c r="AA5" s="25" t="s">
        <v>59</v>
      </c>
      <c r="AB5" s="25">
        <v>440953189.63</v>
      </c>
      <c r="AC5" s="25">
        <v>8456140.3699999992</v>
      </c>
      <c r="AD5" s="25">
        <v>469608373.88</v>
      </c>
      <c r="AE5" s="25">
        <v>8862231.0600000005</v>
      </c>
      <c r="AF5" s="35" t="s">
        <v>58</v>
      </c>
      <c r="AG5" s="38" t="s">
        <v>58</v>
      </c>
      <c r="AH5" s="35" t="s">
        <v>58</v>
      </c>
      <c r="AI5" s="35" t="s">
        <v>58</v>
      </c>
      <c r="AJ5" s="25">
        <v>167.65</v>
      </c>
      <c r="AK5" s="25" t="s">
        <v>59</v>
      </c>
      <c r="AL5" s="25">
        <v>155653.38</v>
      </c>
      <c r="AM5" s="25">
        <v>1139.79</v>
      </c>
      <c r="AN5" s="25">
        <v>115079.09</v>
      </c>
      <c r="AO5" s="26">
        <v>1703.86</v>
      </c>
    </row>
    <row r="6" spans="1:41" x14ac:dyDescent="0.25">
      <c r="A6" s="76"/>
      <c r="B6" s="79"/>
      <c r="C6" s="14" t="s">
        <v>47</v>
      </c>
      <c r="D6" s="15">
        <v>45118</v>
      </c>
      <c r="E6" s="14">
        <v>3.5</v>
      </c>
      <c r="F6" s="14">
        <v>5.5</v>
      </c>
      <c r="G6" s="2">
        <v>1</v>
      </c>
      <c r="H6" s="14">
        <v>1</v>
      </c>
      <c r="I6" s="14">
        <v>1</v>
      </c>
      <c r="J6" s="14">
        <v>0</v>
      </c>
      <c r="K6" s="14">
        <v>0</v>
      </c>
      <c r="L6" s="14">
        <v>0</v>
      </c>
      <c r="M6" s="1">
        <v>0</v>
      </c>
      <c r="N6" s="2">
        <v>25.7</v>
      </c>
      <c r="O6" s="14">
        <v>27.4</v>
      </c>
      <c r="P6" s="14">
        <v>117</v>
      </c>
      <c r="Q6" s="14">
        <v>3.5</v>
      </c>
      <c r="R6" s="14">
        <v>7.56</v>
      </c>
      <c r="S6" s="14">
        <v>6.95</v>
      </c>
      <c r="T6" s="14">
        <v>16</v>
      </c>
      <c r="U6" s="14">
        <v>10.9</v>
      </c>
      <c r="V6" s="14">
        <v>116.6</v>
      </c>
      <c r="W6" s="1">
        <v>3.6</v>
      </c>
      <c r="X6" s="32">
        <v>5033</v>
      </c>
      <c r="Y6" s="25">
        <v>0.56000000000000005</v>
      </c>
      <c r="Z6" s="35" t="s">
        <v>58</v>
      </c>
      <c r="AA6" s="35" t="s">
        <v>58</v>
      </c>
      <c r="AB6" s="25">
        <v>1158403750.4300001</v>
      </c>
      <c r="AC6" s="25">
        <v>31169823.73</v>
      </c>
      <c r="AD6" s="25">
        <v>1095179169.3099999</v>
      </c>
      <c r="AE6" s="25">
        <v>30918728.149999999</v>
      </c>
      <c r="AF6" s="35" t="s">
        <v>58</v>
      </c>
      <c r="AG6" s="38" t="s">
        <v>58</v>
      </c>
      <c r="AH6" s="25">
        <v>149408.4</v>
      </c>
      <c r="AI6" s="25" t="s">
        <v>58</v>
      </c>
      <c r="AJ6" s="25">
        <v>519.89</v>
      </c>
      <c r="AK6" s="25" t="s">
        <v>59</v>
      </c>
      <c r="AL6" s="25">
        <v>397437.65</v>
      </c>
      <c r="AM6" s="25">
        <v>1341.11</v>
      </c>
      <c r="AN6" s="25">
        <v>70984.08</v>
      </c>
      <c r="AO6" s="26">
        <v>1404.34</v>
      </c>
    </row>
    <row r="7" spans="1:41" x14ac:dyDescent="0.25">
      <c r="A7" s="76"/>
      <c r="B7" s="79"/>
      <c r="C7" s="14" t="s">
        <v>47</v>
      </c>
      <c r="D7" s="15">
        <v>45119</v>
      </c>
      <c r="E7" s="14">
        <v>3.5</v>
      </c>
      <c r="F7" s="14">
        <v>5.5</v>
      </c>
      <c r="G7" s="2">
        <v>1</v>
      </c>
      <c r="H7" s="14">
        <v>1</v>
      </c>
      <c r="I7" s="14">
        <v>1</v>
      </c>
      <c r="J7" s="14">
        <v>0</v>
      </c>
      <c r="K7" s="14">
        <v>0</v>
      </c>
      <c r="L7" s="14">
        <v>0</v>
      </c>
      <c r="M7" s="1">
        <v>0</v>
      </c>
      <c r="N7" s="2">
        <v>27.2</v>
      </c>
      <c r="O7" s="14">
        <v>26.5</v>
      </c>
      <c r="P7" s="14">
        <v>117</v>
      </c>
      <c r="Q7" s="14">
        <v>3.6</v>
      </c>
      <c r="R7" s="14">
        <v>7.6</v>
      </c>
      <c r="S7" s="14">
        <v>6.93</v>
      </c>
      <c r="T7" s="14">
        <v>18</v>
      </c>
      <c r="U7" s="14">
        <v>4.2</v>
      </c>
      <c r="V7" s="14">
        <v>120</v>
      </c>
      <c r="W7" s="1">
        <v>3.2</v>
      </c>
      <c r="X7" s="32">
        <v>5677</v>
      </c>
      <c r="Y7" s="25">
        <v>0.255</v>
      </c>
      <c r="Z7" s="25">
        <v>89</v>
      </c>
      <c r="AA7" s="25">
        <v>0.28999999999999998</v>
      </c>
      <c r="AB7" s="25">
        <v>787633568.35000002</v>
      </c>
      <c r="AC7" s="25">
        <v>27055654.690000001</v>
      </c>
      <c r="AD7" s="25">
        <v>728747036.92999995</v>
      </c>
      <c r="AE7" s="25">
        <v>27016580.91</v>
      </c>
      <c r="AF7" s="35" t="s">
        <v>58</v>
      </c>
      <c r="AG7" s="38" t="s">
        <v>58</v>
      </c>
      <c r="AH7" s="25">
        <v>32571.68</v>
      </c>
      <c r="AI7" s="25" t="s">
        <v>59</v>
      </c>
      <c r="AJ7" s="35" t="s">
        <v>58</v>
      </c>
      <c r="AK7" s="35" t="s">
        <v>58</v>
      </c>
      <c r="AL7" s="25">
        <v>223316.52</v>
      </c>
      <c r="AM7" s="25">
        <v>3837.77</v>
      </c>
      <c r="AN7" s="25">
        <v>127213.27</v>
      </c>
      <c r="AO7" s="26">
        <v>1007.66</v>
      </c>
    </row>
    <row r="8" spans="1:41" x14ac:dyDescent="0.25">
      <c r="A8" s="76"/>
      <c r="B8" s="79"/>
      <c r="C8" s="14" t="s">
        <v>47</v>
      </c>
      <c r="D8" s="15">
        <v>45120</v>
      </c>
      <c r="E8" s="14">
        <v>3.5</v>
      </c>
      <c r="F8" s="14">
        <v>5.5</v>
      </c>
      <c r="G8" s="2">
        <v>1</v>
      </c>
      <c r="H8" s="14">
        <v>1</v>
      </c>
      <c r="I8" s="14">
        <v>1</v>
      </c>
      <c r="J8" s="14">
        <v>0</v>
      </c>
      <c r="K8" s="14">
        <v>0</v>
      </c>
      <c r="L8" s="14">
        <v>0</v>
      </c>
      <c r="M8" s="1">
        <v>0</v>
      </c>
      <c r="N8" s="2">
        <v>27.1</v>
      </c>
      <c r="O8" s="14">
        <v>27.4</v>
      </c>
      <c r="P8" s="14">
        <v>105.5</v>
      </c>
      <c r="Q8" s="14">
        <v>3</v>
      </c>
      <c r="R8" s="14">
        <v>7.56</v>
      </c>
      <c r="S8" s="14">
        <v>6.96</v>
      </c>
      <c r="T8" s="14">
        <v>16</v>
      </c>
      <c r="U8" s="14">
        <v>2.1</v>
      </c>
      <c r="V8" s="14">
        <v>82.5</v>
      </c>
      <c r="W8" s="1">
        <v>2.9</v>
      </c>
      <c r="X8" s="32">
        <v>6830</v>
      </c>
      <c r="Y8" s="25" t="s">
        <v>59</v>
      </c>
      <c r="Z8" s="25">
        <v>13</v>
      </c>
      <c r="AA8" s="25">
        <v>6</v>
      </c>
      <c r="AB8" s="25">
        <v>750000669.88999999</v>
      </c>
      <c r="AC8" s="25">
        <v>47062137.939999998</v>
      </c>
      <c r="AD8" s="25">
        <v>760024381.76999998</v>
      </c>
      <c r="AE8" s="25">
        <v>46049914.969999999</v>
      </c>
      <c r="AF8" s="35" t="s">
        <v>58</v>
      </c>
      <c r="AG8" s="38" t="s">
        <v>58</v>
      </c>
      <c r="AH8" s="25">
        <v>171018.1</v>
      </c>
      <c r="AI8" s="25" t="s">
        <v>59</v>
      </c>
      <c r="AJ8" s="25">
        <v>280.42</v>
      </c>
      <c r="AK8" s="25" t="s">
        <v>59</v>
      </c>
      <c r="AL8" s="25">
        <v>234616.67</v>
      </c>
      <c r="AM8" s="25">
        <v>2938.27</v>
      </c>
      <c r="AN8" s="25">
        <v>189938.04</v>
      </c>
      <c r="AO8" s="26">
        <v>4196.53</v>
      </c>
    </row>
    <row r="9" spans="1:41" x14ac:dyDescent="0.25">
      <c r="A9" s="76"/>
      <c r="B9" s="79"/>
      <c r="C9" s="14" t="s">
        <v>48</v>
      </c>
      <c r="D9" s="15">
        <v>45188</v>
      </c>
      <c r="E9" s="14">
        <v>3.5</v>
      </c>
      <c r="F9" s="14">
        <v>5.5</v>
      </c>
      <c r="G9" s="2">
        <v>1</v>
      </c>
      <c r="H9" s="14">
        <v>1</v>
      </c>
      <c r="I9" s="14">
        <v>1</v>
      </c>
      <c r="J9" s="14">
        <v>0</v>
      </c>
      <c r="K9" s="14">
        <v>0</v>
      </c>
      <c r="L9" s="14">
        <v>0</v>
      </c>
      <c r="M9" s="1">
        <v>0</v>
      </c>
      <c r="N9" s="2">
        <v>27.5</v>
      </c>
      <c r="O9" s="14">
        <v>26.9</v>
      </c>
      <c r="P9" s="14">
        <v>115</v>
      </c>
      <c r="Q9" s="14">
        <v>4.3</v>
      </c>
      <c r="R9" s="14">
        <v>7.57</v>
      </c>
      <c r="S9" s="14">
        <v>7.02</v>
      </c>
      <c r="T9" s="14">
        <v>16</v>
      </c>
      <c r="U9" s="14">
        <v>9.9</v>
      </c>
      <c r="V9" s="14">
        <v>106.3</v>
      </c>
      <c r="W9" s="1">
        <v>4.4000000000000004</v>
      </c>
      <c r="X9" s="32">
        <v>3955</v>
      </c>
      <c r="Y9" s="25">
        <v>1.02</v>
      </c>
      <c r="Z9" s="25">
        <v>2</v>
      </c>
      <c r="AA9" s="25">
        <v>0.51</v>
      </c>
      <c r="AB9" s="25">
        <v>131854292.53</v>
      </c>
      <c r="AC9" s="25">
        <v>18830135.899999999</v>
      </c>
      <c r="AD9" s="25">
        <v>138067228.36000001</v>
      </c>
      <c r="AE9" s="25">
        <v>18420228.210000001</v>
      </c>
      <c r="AF9" s="35" t="s">
        <v>58</v>
      </c>
      <c r="AG9" s="38" t="s">
        <v>58</v>
      </c>
      <c r="AH9" s="25">
        <v>15942.26</v>
      </c>
      <c r="AI9" s="25" t="s">
        <v>59</v>
      </c>
      <c r="AJ9" s="25">
        <v>313.54000000000002</v>
      </c>
      <c r="AK9" s="25" t="s">
        <v>59</v>
      </c>
      <c r="AL9" s="25">
        <v>11692.46</v>
      </c>
      <c r="AM9" s="25">
        <v>202.12</v>
      </c>
      <c r="AN9" s="25">
        <v>25881.7</v>
      </c>
      <c r="AO9" s="26">
        <v>998.07</v>
      </c>
    </row>
    <row r="10" spans="1:41" x14ac:dyDescent="0.25">
      <c r="A10" s="76"/>
      <c r="B10" s="79"/>
      <c r="C10" s="14" t="s">
        <v>48</v>
      </c>
      <c r="D10" s="15">
        <v>45189</v>
      </c>
      <c r="E10" s="14">
        <v>3.5</v>
      </c>
      <c r="F10" s="14">
        <v>5.5</v>
      </c>
      <c r="G10" s="2">
        <v>1</v>
      </c>
      <c r="H10" s="14">
        <v>1</v>
      </c>
      <c r="I10" s="14">
        <v>1</v>
      </c>
      <c r="J10" s="14">
        <v>0</v>
      </c>
      <c r="K10" s="14">
        <v>0</v>
      </c>
      <c r="L10" s="14">
        <v>0</v>
      </c>
      <c r="M10" s="1">
        <v>0</v>
      </c>
      <c r="N10" s="2">
        <v>27.4</v>
      </c>
      <c r="O10" s="14">
        <v>26.9</v>
      </c>
      <c r="P10" s="14">
        <v>120</v>
      </c>
      <c r="Q10" s="14">
        <v>4.0999999999999996</v>
      </c>
      <c r="R10" s="14">
        <v>7.58</v>
      </c>
      <c r="S10" s="14">
        <v>6.92</v>
      </c>
      <c r="T10" s="14">
        <v>18</v>
      </c>
      <c r="U10" s="14">
        <v>8.5</v>
      </c>
      <c r="V10" s="14">
        <v>97.4</v>
      </c>
      <c r="W10" s="1">
        <v>3.4</v>
      </c>
      <c r="X10" s="32">
        <v>2136</v>
      </c>
      <c r="Y10" s="25">
        <v>0.20499999999999999</v>
      </c>
      <c r="Z10" s="25">
        <v>242</v>
      </c>
      <c r="AA10" s="25">
        <v>0.02</v>
      </c>
      <c r="AB10" s="25">
        <v>151164477.19</v>
      </c>
      <c r="AC10" s="25">
        <v>20527966.640000001</v>
      </c>
      <c r="AD10" s="25">
        <v>214676407.06999999</v>
      </c>
      <c r="AE10" s="25">
        <v>20492756.890000001</v>
      </c>
      <c r="AF10" s="35" t="s">
        <v>58</v>
      </c>
      <c r="AG10" s="38" t="s">
        <v>58</v>
      </c>
      <c r="AH10" s="25">
        <v>36434.949999999997</v>
      </c>
      <c r="AI10" s="25" t="s">
        <v>59</v>
      </c>
      <c r="AJ10" s="25">
        <v>792.61</v>
      </c>
      <c r="AK10" s="25" t="s">
        <v>59</v>
      </c>
      <c r="AL10" s="25">
        <v>61276.7</v>
      </c>
      <c r="AM10" s="25">
        <v>2849.92</v>
      </c>
      <c r="AN10" s="25">
        <v>244535.01</v>
      </c>
      <c r="AO10" s="26">
        <v>3004.57</v>
      </c>
    </row>
    <row r="11" spans="1:41" ht="15.75" thickBot="1" x14ac:dyDescent="0.3">
      <c r="A11" s="77"/>
      <c r="B11" s="80"/>
      <c r="C11" s="9" t="s">
        <v>48</v>
      </c>
      <c r="D11" s="16">
        <v>45190</v>
      </c>
      <c r="E11" s="9">
        <v>3.5</v>
      </c>
      <c r="F11" s="9">
        <v>5.5</v>
      </c>
      <c r="G11" s="18">
        <v>1</v>
      </c>
      <c r="H11" s="9">
        <v>1</v>
      </c>
      <c r="I11" s="9">
        <v>1</v>
      </c>
      <c r="J11" s="9">
        <v>0</v>
      </c>
      <c r="K11" s="9">
        <v>0</v>
      </c>
      <c r="L11" s="9">
        <v>0</v>
      </c>
      <c r="M11" s="17">
        <v>0</v>
      </c>
      <c r="N11" s="18">
        <v>27.2</v>
      </c>
      <c r="O11" s="9">
        <v>26.8</v>
      </c>
      <c r="P11" s="9">
        <v>159.5</v>
      </c>
      <c r="Q11" s="9">
        <v>4.2</v>
      </c>
      <c r="R11" s="9">
        <v>7.54</v>
      </c>
      <c r="S11" s="9">
        <v>6.92</v>
      </c>
      <c r="T11" s="9">
        <v>18</v>
      </c>
      <c r="U11" s="9">
        <v>8.1999999999999993</v>
      </c>
      <c r="V11" s="20" t="s">
        <v>58</v>
      </c>
      <c r="W11" s="21" t="s">
        <v>58</v>
      </c>
      <c r="X11" s="34">
        <v>4732</v>
      </c>
      <c r="Y11" s="27">
        <v>0.62</v>
      </c>
      <c r="Z11" s="27">
        <v>19</v>
      </c>
      <c r="AA11" s="27">
        <v>0.02</v>
      </c>
      <c r="AB11" s="27">
        <v>136665900.59</v>
      </c>
      <c r="AC11" s="27">
        <v>16485138.689999999</v>
      </c>
      <c r="AD11" s="27">
        <v>140314945.72</v>
      </c>
      <c r="AE11" s="27">
        <v>16620309.07</v>
      </c>
      <c r="AF11" s="35" t="s">
        <v>58</v>
      </c>
      <c r="AG11" s="38" t="s">
        <v>58</v>
      </c>
      <c r="AH11" s="27">
        <v>11730.06</v>
      </c>
      <c r="AI11" s="25" t="s">
        <v>59</v>
      </c>
      <c r="AJ11" s="27">
        <v>577.08000000000004</v>
      </c>
      <c r="AK11" s="27" t="s">
        <v>59</v>
      </c>
      <c r="AL11" s="27">
        <v>15510.55</v>
      </c>
      <c r="AM11" s="27">
        <v>808.25</v>
      </c>
      <c r="AN11" s="27">
        <v>36833.129999999997</v>
      </c>
      <c r="AO11" s="28">
        <v>1115.0899999999999</v>
      </c>
    </row>
    <row r="12" spans="1:41" x14ac:dyDescent="0.25">
      <c r="A12" s="75" t="s">
        <v>49</v>
      </c>
      <c r="B12" s="78" t="s">
        <v>50</v>
      </c>
      <c r="C12" s="10" t="s">
        <v>51</v>
      </c>
      <c r="D12" s="11">
        <v>44957</v>
      </c>
      <c r="E12" s="10">
        <v>18</v>
      </c>
      <c r="F12" s="10">
        <v>8.6999999999999993</v>
      </c>
      <c r="G12" s="13">
        <v>1</v>
      </c>
      <c r="H12" s="10">
        <v>1</v>
      </c>
      <c r="I12" s="10">
        <v>0</v>
      </c>
      <c r="J12" s="10">
        <v>1</v>
      </c>
      <c r="K12" s="10">
        <v>1</v>
      </c>
      <c r="L12" s="10">
        <v>0</v>
      </c>
      <c r="M12" s="12">
        <v>1</v>
      </c>
      <c r="N12" s="19" t="s">
        <v>58</v>
      </c>
      <c r="O12" s="10">
        <v>23.6</v>
      </c>
      <c r="P12" s="10">
        <v>744</v>
      </c>
      <c r="Q12" s="19" t="s">
        <v>59</v>
      </c>
      <c r="R12" s="19" t="s">
        <v>58</v>
      </c>
      <c r="S12" s="19" t="s">
        <v>58</v>
      </c>
      <c r="T12" s="10">
        <v>50</v>
      </c>
      <c r="U12" s="20" t="s">
        <v>58</v>
      </c>
      <c r="V12" s="10">
        <v>389</v>
      </c>
      <c r="W12" s="19" t="s">
        <v>58</v>
      </c>
      <c r="X12" s="30">
        <v>15000</v>
      </c>
      <c r="Y12" s="23">
        <v>0.01</v>
      </c>
      <c r="Z12" s="23">
        <v>3000</v>
      </c>
      <c r="AA12" s="25" t="s">
        <v>59</v>
      </c>
      <c r="AB12" s="23">
        <v>157483.09</v>
      </c>
      <c r="AC12" s="23">
        <v>1144.46</v>
      </c>
      <c r="AD12" s="23">
        <v>13583557.890000001</v>
      </c>
      <c r="AE12" s="23" t="s">
        <v>59</v>
      </c>
      <c r="AF12" s="23">
        <v>1504303.59</v>
      </c>
      <c r="AG12" s="29">
        <v>121.51</v>
      </c>
      <c r="AH12" s="30">
        <v>331.03</v>
      </c>
      <c r="AI12" s="23" t="s">
        <v>59</v>
      </c>
      <c r="AJ12" s="23">
        <v>117.97</v>
      </c>
      <c r="AK12" s="23" t="s">
        <v>59</v>
      </c>
      <c r="AL12" s="23">
        <v>100.85</v>
      </c>
      <c r="AM12" s="23">
        <v>0.21</v>
      </c>
      <c r="AN12" s="23">
        <v>16311.91</v>
      </c>
      <c r="AO12" s="24">
        <v>0.86</v>
      </c>
    </row>
    <row r="13" spans="1:41" x14ac:dyDescent="0.25">
      <c r="A13" s="76"/>
      <c r="B13" s="79"/>
      <c r="C13" s="14" t="s">
        <v>51</v>
      </c>
      <c r="D13" s="15">
        <v>44958</v>
      </c>
      <c r="E13" s="14">
        <v>18</v>
      </c>
      <c r="F13" s="14">
        <v>8.6999999999999993</v>
      </c>
      <c r="G13" s="2">
        <v>1</v>
      </c>
      <c r="H13" s="14">
        <v>1</v>
      </c>
      <c r="I13" s="14">
        <v>0</v>
      </c>
      <c r="J13" s="14">
        <v>1</v>
      </c>
      <c r="K13" s="14">
        <v>1</v>
      </c>
      <c r="L13" s="14">
        <v>0</v>
      </c>
      <c r="M13" s="1">
        <v>1</v>
      </c>
      <c r="N13" s="20" t="s">
        <v>58</v>
      </c>
      <c r="O13" s="14">
        <v>23.6</v>
      </c>
      <c r="P13" s="14">
        <v>158</v>
      </c>
      <c r="Q13" s="20" t="s">
        <v>59</v>
      </c>
      <c r="R13" s="20" t="s">
        <v>58</v>
      </c>
      <c r="S13" s="20" t="s">
        <v>58</v>
      </c>
      <c r="T13" s="14">
        <v>51</v>
      </c>
      <c r="U13" s="14">
        <v>6.8000000000000005E-2</v>
      </c>
      <c r="V13" s="14">
        <v>934</v>
      </c>
      <c r="W13" s="20" t="s">
        <v>58</v>
      </c>
      <c r="X13" s="32">
        <v>7000</v>
      </c>
      <c r="Y13" s="25">
        <v>5.95</v>
      </c>
      <c r="Z13" s="25">
        <v>2000</v>
      </c>
      <c r="AA13" s="25" t="s">
        <v>59</v>
      </c>
      <c r="AB13" s="25">
        <v>52714.25</v>
      </c>
      <c r="AC13" s="25">
        <v>1413.23</v>
      </c>
      <c r="AD13" s="25">
        <v>4365254.21</v>
      </c>
      <c r="AE13" s="25">
        <v>78.510000000000005</v>
      </c>
      <c r="AF13" s="25">
        <v>667247.59</v>
      </c>
      <c r="AG13" s="31">
        <v>57.83</v>
      </c>
      <c r="AH13" s="32">
        <v>1153.1500000000001</v>
      </c>
      <c r="AI13" s="25" t="s">
        <v>59</v>
      </c>
      <c r="AJ13" s="25">
        <v>24.28</v>
      </c>
      <c r="AK13" s="25" t="s">
        <v>59</v>
      </c>
      <c r="AL13" s="25">
        <v>13.56</v>
      </c>
      <c r="AM13" s="25" t="s">
        <v>59</v>
      </c>
      <c r="AN13" s="25">
        <v>6257.31</v>
      </c>
      <c r="AO13" s="26">
        <v>0.12</v>
      </c>
    </row>
    <row r="14" spans="1:41" x14ac:dyDescent="0.25">
      <c r="A14" s="76"/>
      <c r="B14" s="79"/>
      <c r="C14" s="14" t="s">
        <v>51</v>
      </c>
      <c r="D14" s="15">
        <v>44959</v>
      </c>
      <c r="E14" s="14">
        <v>18</v>
      </c>
      <c r="F14" s="14">
        <v>8.6999999999999993</v>
      </c>
      <c r="G14" s="2">
        <v>1</v>
      </c>
      <c r="H14" s="14">
        <v>1</v>
      </c>
      <c r="I14" s="14">
        <v>0</v>
      </c>
      <c r="J14" s="14">
        <v>1</v>
      </c>
      <c r="K14" s="14">
        <v>1</v>
      </c>
      <c r="L14" s="14">
        <v>0</v>
      </c>
      <c r="M14" s="1">
        <v>1</v>
      </c>
      <c r="N14" s="20" t="s">
        <v>58</v>
      </c>
      <c r="O14" s="14">
        <v>20.399999999999999</v>
      </c>
      <c r="P14" s="14">
        <v>254</v>
      </c>
      <c r="Q14" s="20" t="s">
        <v>59</v>
      </c>
      <c r="R14" s="20" t="s">
        <v>58</v>
      </c>
      <c r="S14" s="20" t="s">
        <v>58</v>
      </c>
      <c r="T14" s="14">
        <v>56</v>
      </c>
      <c r="U14" s="20" t="s">
        <v>58</v>
      </c>
      <c r="V14" s="14">
        <v>303</v>
      </c>
      <c r="W14" s="20" t="s">
        <v>58</v>
      </c>
      <c r="X14" s="32">
        <v>52000</v>
      </c>
      <c r="Y14" s="25">
        <v>3.25</v>
      </c>
      <c r="Z14" s="25">
        <v>2500</v>
      </c>
      <c r="AA14" s="25" t="s">
        <v>59</v>
      </c>
      <c r="AB14" s="25">
        <v>27202.1</v>
      </c>
      <c r="AC14" s="25">
        <v>583.36</v>
      </c>
      <c r="AD14" s="25">
        <v>3842169.57</v>
      </c>
      <c r="AE14" s="25">
        <v>116.65</v>
      </c>
      <c r="AF14" s="25">
        <v>203525.11</v>
      </c>
      <c r="AG14" s="31">
        <v>99.46</v>
      </c>
      <c r="AH14" s="32">
        <v>1003.34</v>
      </c>
      <c r="AI14" s="25" t="s">
        <v>59</v>
      </c>
      <c r="AJ14" s="25">
        <v>13.09</v>
      </c>
      <c r="AK14" s="25" t="s">
        <v>59</v>
      </c>
      <c r="AL14" s="25">
        <v>33.65</v>
      </c>
      <c r="AM14" s="25">
        <v>0.57999999999999996</v>
      </c>
      <c r="AN14" s="25">
        <v>3572.7</v>
      </c>
      <c r="AO14" s="26">
        <v>0.39</v>
      </c>
    </row>
    <row r="15" spans="1:41" x14ac:dyDescent="0.25">
      <c r="A15" s="76"/>
      <c r="B15" s="79"/>
      <c r="C15" s="14" t="s">
        <v>47</v>
      </c>
      <c r="D15" s="15">
        <v>45132</v>
      </c>
      <c r="E15" s="14">
        <v>18</v>
      </c>
      <c r="F15" s="14">
        <v>8.6999999999999993</v>
      </c>
      <c r="G15" s="2">
        <v>1</v>
      </c>
      <c r="H15" s="14">
        <v>1</v>
      </c>
      <c r="I15" s="14">
        <v>0</v>
      </c>
      <c r="J15" s="14">
        <v>1</v>
      </c>
      <c r="K15" s="14">
        <v>1</v>
      </c>
      <c r="L15" s="14">
        <v>0</v>
      </c>
      <c r="M15" s="1">
        <v>1</v>
      </c>
      <c r="N15" s="20" t="s">
        <v>58</v>
      </c>
      <c r="O15" s="20" t="s">
        <v>58</v>
      </c>
      <c r="P15" s="14">
        <v>302</v>
      </c>
      <c r="Q15" s="20" t="s">
        <v>58</v>
      </c>
      <c r="R15" s="20" t="s">
        <v>58</v>
      </c>
      <c r="S15" s="20" t="s">
        <v>58</v>
      </c>
      <c r="T15" s="14">
        <v>39</v>
      </c>
      <c r="U15" s="25" t="s">
        <v>59</v>
      </c>
      <c r="V15" s="14">
        <v>250</v>
      </c>
      <c r="W15" s="1">
        <v>2.2000000000000002</v>
      </c>
      <c r="X15" s="32">
        <v>6150</v>
      </c>
      <c r="Y15" s="25">
        <v>0.125</v>
      </c>
      <c r="Z15" s="25">
        <v>30</v>
      </c>
      <c r="AA15" s="25" t="s">
        <v>59</v>
      </c>
      <c r="AB15" s="25">
        <v>8180</v>
      </c>
      <c r="AC15" s="25">
        <v>713.9</v>
      </c>
      <c r="AD15" s="25">
        <v>2746546.65</v>
      </c>
      <c r="AE15" s="25" t="s">
        <v>59</v>
      </c>
      <c r="AF15" s="25">
        <v>71867.3</v>
      </c>
      <c r="AG15" s="31">
        <v>172.88</v>
      </c>
      <c r="AH15" s="32">
        <v>128.26</v>
      </c>
      <c r="AI15" s="25" t="s">
        <v>59</v>
      </c>
      <c r="AJ15" s="25">
        <v>20.7</v>
      </c>
      <c r="AK15" s="25" t="s">
        <v>59</v>
      </c>
      <c r="AL15" s="25">
        <v>315.69</v>
      </c>
      <c r="AM15" s="25" t="s">
        <v>59</v>
      </c>
      <c r="AN15" s="25">
        <v>239.4</v>
      </c>
      <c r="AO15" s="26" t="s">
        <v>59</v>
      </c>
    </row>
    <row r="16" spans="1:41" x14ac:dyDescent="0.25">
      <c r="A16" s="76"/>
      <c r="B16" s="79"/>
      <c r="C16" s="14" t="s">
        <v>47</v>
      </c>
      <c r="D16" s="15">
        <v>45133</v>
      </c>
      <c r="E16" s="14">
        <v>18</v>
      </c>
      <c r="F16" s="14">
        <v>8.6999999999999993</v>
      </c>
      <c r="G16" s="2">
        <v>1</v>
      </c>
      <c r="H16" s="14">
        <v>1</v>
      </c>
      <c r="I16" s="14">
        <v>0</v>
      </c>
      <c r="J16" s="14">
        <v>1</v>
      </c>
      <c r="K16" s="14">
        <v>1</v>
      </c>
      <c r="L16" s="14">
        <v>0</v>
      </c>
      <c r="M16" s="1">
        <v>1</v>
      </c>
      <c r="N16" s="20" t="s">
        <v>58</v>
      </c>
      <c r="O16" s="20" t="s">
        <v>58</v>
      </c>
      <c r="P16" s="14">
        <v>242</v>
      </c>
      <c r="Q16" s="20" t="s">
        <v>58</v>
      </c>
      <c r="R16" s="20" t="s">
        <v>58</v>
      </c>
      <c r="S16" s="20" t="s">
        <v>58</v>
      </c>
      <c r="T16" s="14">
        <v>39</v>
      </c>
      <c r="U16" s="25" t="s">
        <v>59</v>
      </c>
      <c r="V16" s="14" t="s">
        <v>58</v>
      </c>
      <c r="W16" s="20" t="s">
        <v>58</v>
      </c>
      <c r="X16" s="32">
        <v>13500</v>
      </c>
      <c r="Y16" s="25">
        <v>0.08</v>
      </c>
      <c r="Z16" s="25">
        <v>50</v>
      </c>
      <c r="AA16" s="25">
        <v>0.01</v>
      </c>
      <c r="AB16" s="25" t="s">
        <v>58</v>
      </c>
      <c r="AC16" s="25" t="s">
        <v>58</v>
      </c>
      <c r="AD16" s="25" t="s">
        <v>58</v>
      </c>
      <c r="AE16" s="25" t="s">
        <v>58</v>
      </c>
      <c r="AF16" s="25">
        <v>25144.45</v>
      </c>
      <c r="AG16" s="31">
        <v>137.16</v>
      </c>
      <c r="AH16" s="32">
        <v>249.22</v>
      </c>
      <c r="AI16" s="25" t="s">
        <v>59</v>
      </c>
      <c r="AJ16" s="25">
        <v>28.67</v>
      </c>
      <c r="AK16" s="25" t="s">
        <v>59</v>
      </c>
      <c r="AL16" s="25">
        <v>383.89</v>
      </c>
      <c r="AM16" s="25">
        <v>0.16</v>
      </c>
      <c r="AN16" s="25">
        <v>647.22</v>
      </c>
      <c r="AO16" s="26">
        <v>0.16</v>
      </c>
    </row>
    <row r="17" spans="1:41" x14ac:dyDescent="0.25">
      <c r="A17" s="76"/>
      <c r="B17" s="79"/>
      <c r="C17" s="14" t="s">
        <v>48</v>
      </c>
      <c r="D17" s="15">
        <v>45208</v>
      </c>
      <c r="E17" s="14">
        <v>18</v>
      </c>
      <c r="F17" s="14">
        <v>8.6999999999999993</v>
      </c>
      <c r="G17" s="2">
        <v>1</v>
      </c>
      <c r="H17" s="14">
        <v>1</v>
      </c>
      <c r="I17" s="14">
        <v>0</v>
      </c>
      <c r="J17" s="14">
        <v>1</v>
      </c>
      <c r="K17" s="14">
        <v>1</v>
      </c>
      <c r="L17" s="14">
        <v>0</v>
      </c>
      <c r="M17" s="1">
        <v>1</v>
      </c>
      <c r="N17" s="20" t="s">
        <v>58</v>
      </c>
      <c r="O17" s="14">
        <v>29</v>
      </c>
      <c r="P17" s="14">
        <v>290</v>
      </c>
      <c r="Q17" s="20" t="s">
        <v>59</v>
      </c>
      <c r="R17" s="20" t="s">
        <v>58</v>
      </c>
      <c r="S17" s="20" t="s">
        <v>58</v>
      </c>
      <c r="T17" s="14">
        <v>35</v>
      </c>
      <c r="U17" s="25" t="s">
        <v>59</v>
      </c>
      <c r="V17" s="14" t="s">
        <v>58</v>
      </c>
      <c r="W17" s="20" t="s">
        <v>58</v>
      </c>
      <c r="X17" s="32">
        <v>470</v>
      </c>
      <c r="Y17" s="25" t="s">
        <v>59</v>
      </c>
      <c r="Z17" s="25">
        <v>980</v>
      </c>
      <c r="AA17" s="25" t="s">
        <v>59</v>
      </c>
      <c r="AB17" s="25">
        <v>22236.69</v>
      </c>
      <c r="AC17" s="25">
        <v>4447.1899999999996</v>
      </c>
      <c r="AD17" s="25">
        <v>5493978.0199999996</v>
      </c>
      <c r="AE17" s="25">
        <v>1039.33</v>
      </c>
      <c r="AF17" s="25">
        <v>157680.54</v>
      </c>
      <c r="AG17" s="31">
        <v>150.33000000000001</v>
      </c>
      <c r="AH17" s="32">
        <v>1443.8</v>
      </c>
      <c r="AI17" s="25">
        <v>0.33</v>
      </c>
      <c r="AJ17" s="25">
        <v>90.2</v>
      </c>
      <c r="AK17" s="25" t="s">
        <v>59</v>
      </c>
      <c r="AL17" s="25">
        <v>199.42</v>
      </c>
      <c r="AM17" s="25">
        <v>0.09</v>
      </c>
      <c r="AN17" s="25">
        <v>285.27999999999997</v>
      </c>
      <c r="AO17" s="26" t="s">
        <v>59</v>
      </c>
    </row>
    <row r="18" spans="1:41" x14ac:dyDescent="0.25">
      <c r="A18" s="76"/>
      <c r="B18" s="79"/>
      <c r="C18" s="14" t="s">
        <v>48</v>
      </c>
      <c r="D18" s="15">
        <v>45209</v>
      </c>
      <c r="E18" s="14">
        <v>18</v>
      </c>
      <c r="F18" s="14">
        <v>8.6999999999999993</v>
      </c>
      <c r="G18" s="2">
        <v>1</v>
      </c>
      <c r="H18" s="14">
        <v>1</v>
      </c>
      <c r="I18" s="14">
        <v>0</v>
      </c>
      <c r="J18" s="14">
        <v>1</v>
      </c>
      <c r="K18" s="14">
        <v>1</v>
      </c>
      <c r="L18" s="14">
        <v>0</v>
      </c>
      <c r="M18" s="1">
        <v>1</v>
      </c>
      <c r="N18" s="20" t="s">
        <v>58</v>
      </c>
      <c r="O18" s="14">
        <v>28.3</v>
      </c>
      <c r="P18" s="14">
        <v>266</v>
      </c>
      <c r="Q18" s="20" t="s">
        <v>59</v>
      </c>
      <c r="R18" s="20" t="s">
        <v>58</v>
      </c>
      <c r="S18" s="20" t="s">
        <v>58</v>
      </c>
      <c r="T18" s="14">
        <v>44</v>
      </c>
      <c r="U18" s="25" t="s">
        <v>59</v>
      </c>
      <c r="V18" s="14">
        <v>257</v>
      </c>
      <c r="W18" s="22">
        <v>2.2759999999999998</v>
      </c>
      <c r="X18" s="32">
        <v>790</v>
      </c>
      <c r="Y18" s="25" t="s">
        <v>59</v>
      </c>
      <c r="Z18" s="25">
        <v>817</v>
      </c>
      <c r="AA18" s="25" t="s">
        <v>59</v>
      </c>
      <c r="AB18" s="25">
        <v>49022.28</v>
      </c>
      <c r="AC18" s="25">
        <v>2690.56</v>
      </c>
      <c r="AD18" s="25">
        <v>7424130.54</v>
      </c>
      <c r="AE18" s="25">
        <v>316.33999999999997</v>
      </c>
      <c r="AF18" s="25">
        <v>259929.23</v>
      </c>
      <c r="AG18" s="31">
        <v>197.69</v>
      </c>
      <c r="AH18" s="32">
        <v>2352.64</v>
      </c>
      <c r="AI18" s="25">
        <v>0.79</v>
      </c>
      <c r="AJ18" s="25">
        <v>49.21</v>
      </c>
      <c r="AK18" s="25" t="s">
        <v>59</v>
      </c>
      <c r="AL18" s="25">
        <v>134.28</v>
      </c>
      <c r="AM18" s="25">
        <v>0.74</v>
      </c>
      <c r="AN18" s="25">
        <v>408.94</v>
      </c>
      <c r="AO18" s="26">
        <v>1.1000000000000001</v>
      </c>
    </row>
    <row r="19" spans="1:41" ht="15.75" thickBot="1" x14ac:dyDescent="0.3">
      <c r="A19" s="77"/>
      <c r="B19" s="80"/>
      <c r="C19" s="9" t="s">
        <v>48</v>
      </c>
      <c r="D19" s="16">
        <v>45210</v>
      </c>
      <c r="E19" s="9">
        <v>18</v>
      </c>
      <c r="F19" s="9">
        <v>8.6999999999999993</v>
      </c>
      <c r="G19" s="18">
        <v>1</v>
      </c>
      <c r="H19" s="9">
        <v>1</v>
      </c>
      <c r="I19" s="9">
        <v>0</v>
      </c>
      <c r="J19" s="9">
        <v>1</v>
      </c>
      <c r="K19" s="9">
        <v>1</v>
      </c>
      <c r="L19" s="9">
        <v>0</v>
      </c>
      <c r="M19" s="17">
        <v>1</v>
      </c>
      <c r="N19" s="21" t="s">
        <v>58</v>
      </c>
      <c r="O19" s="9">
        <v>28.5</v>
      </c>
      <c r="P19" s="9">
        <v>272</v>
      </c>
      <c r="Q19" s="21" t="s">
        <v>59</v>
      </c>
      <c r="R19" s="20" t="s">
        <v>58</v>
      </c>
      <c r="S19" s="21" t="s">
        <v>58</v>
      </c>
      <c r="T19" s="9">
        <v>48</v>
      </c>
      <c r="U19" s="25" t="s">
        <v>59</v>
      </c>
      <c r="V19" s="21" t="s">
        <v>58</v>
      </c>
      <c r="W19" s="21" t="s">
        <v>58</v>
      </c>
      <c r="X19" s="34">
        <v>800</v>
      </c>
      <c r="Y19" s="25" t="s">
        <v>59</v>
      </c>
      <c r="Z19" s="27">
        <v>680</v>
      </c>
      <c r="AA19" s="25" t="s">
        <v>59</v>
      </c>
      <c r="AB19" s="27">
        <v>27422.080000000002</v>
      </c>
      <c r="AC19" s="27">
        <v>4976.49</v>
      </c>
      <c r="AD19" s="27">
        <v>3483774.19</v>
      </c>
      <c r="AE19" s="27">
        <v>524.23</v>
      </c>
      <c r="AF19" s="27">
        <v>127805.83</v>
      </c>
      <c r="AG19" s="33">
        <v>828.52</v>
      </c>
      <c r="AH19" s="34">
        <v>1276.23</v>
      </c>
      <c r="AI19" s="27">
        <v>0.72</v>
      </c>
      <c r="AJ19" s="27">
        <v>47.4</v>
      </c>
      <c r="AK19" s="27">
        <v>7.0000000000000007E-2</v>
      </c>
      <c r="AL19" s="27">
        <v>94.32</v>
      </c>
      <c r="AM19" s="27">
        <v>1.37</v>
      </c>
      <c r="AN19" s="27">
        <v>486.6</v>
      </c>
      <c r="AO19" s="28">
        <v>0.23</v>
      </c>
    </row>
    <row r="20" spans="1:41" x14ac:dyDescent="0.25">
      <c r="A20" s="75" t="s">
        <v>52</v>
      </c>
      <c r="B20" s="78" t="s">
        <v>53</v>
      </c>
      <c r="C20" s="10" t="s">
        <v>46</v>
      </c>
      <c r="D20" s="11">
        <v>45055</v>
      </c>
      <c r="E20" s="10">
        <v>50</v>
      </c>
      <c r="F20" s="10">
        <v>8</v>
      </c>
      <c r="G20" s="13">
        <v>1</v>
      </c>
      <c r="H20" s="10">
        <v>1</v>
      </c>
      <c r="I20" s="10">
        <v>1</v>
      </c>
      <c r="J20" s="10">
        <v>0</v>
      </c>
      <c r="K20" s="10">
        <v>0</v>
      </c>
      <c r="L20" s="10">
        <v>1</v>
      </c>
      <c r="M20" s="12">
        <v>0</v>
      </c>
      <c r="N20" s="13">
        <v>15.4</v>
      </c>
      <c r="O20" s="10">
        <v>16.8</v>
      </c>
      <c r="P20" s="10">
        <v>202</v>
      </c>
      <c r="Q20" s="10">
        <v>7.2</v>
      </c>
      <c r="R20" s="10">
        <v>7.87</v>
      </c>
      <c r="S20" s="10">
        <v>7.33</v>
      </c>
      <c r="T20" s="10">
        <v>24.4</v>
      </c>
      <c r="U20" s="10">
        <v>9.74</v>
      </c>
      <c r="V20" s="10">
        <v>181</v>
      </c>
      <c r="W20" s="12">
        <v>13.7</v>
      </c>
      <c r="X20" s="30">
        <v>6400</v>
      </c>
      <c r="Y20" s="23">
        <v>1.4999999999999999E-2</v>
      </c>
      <c r="Z20" s="23">
        <v>2227</v>
      </c>
      <c r="AA20" s="23" t="s">
        <v>59</v>
      </c>
      <c r="AB20" s="23">
        <v>11277.75</v>
      </c>
      <c r="AC20" s="23">
        <v>1346.2</v>
      </c>
      <c r="AD20" s="23">
        <v>745963.2</v>
      </c>
      <c r="AE20" s="23">
        <v>3297.73</v>
      </c>
      <c r="AF20" s="23">
        <v>45086.52</v>
      </c>
      <c r="AG20" s="29" t="s">
        <v>59</v>
      </c>
      <c r="AH20" s="30">
        <v>258.8</v>
      </c>
      <c r="AI20" s="23">
        <v>1.72</v>
      </c>
      <c r="AJ20" s="23">
        <v>8.4</v>
      </c>
      <c r="AK20" s="23" t="s">
        <v>59</v>
      </c>
      <c r="AL20" s="23">
        <v>79.77</v>
      </c>
      <c r="AM20" s="23">
        <v>0.75</v>
      </c>
      <c r="AN20" s="23">
        <v>355.02</v>
      </c>
      <c r="AO20" s="24">
        <v>2.14</v>
      </c>
    </row>
    <row r="21" spans="1:41" x14ac:dyDescent="0.25">
      <c r="A21" s="76"/>
      <c r="B21" s="79"/>
      <c r="C21" s="14" t="s">
        <v>46</v>
      </c>
      <c r="D21" s="15">
        <v>45056</v>
      </c>
      <c r="E21" s="14">
        <v>50</v>
      </c>
      <c r="F21" s="14">
        <v>8</v>
      </c>
      <c r="G21" s="2">
        <v>1</v>
      </c>
      <c r="H21" s="14">
        <v>1</v>
      </c>
      <c r="I21" s="14">
        <v>1</v>
      </c>
      <c r="J21" s="14">
        <v>0</v>
      </c>
      <c r="K21" s="14">
        <v>0</v>
      </c>
      <c r="L21" s="14">
        <v>1</v>
      </c>
      <c r="M21" s="1">
        <v>0</v>
      </c>
      <c r="N21" s="2">
        <v>15.4</v>
      </c>
      <c r="O21" s="14">
        <v>16.7</v>
      </c>
      <c r="P21" s="14">
        <v>222</v>
      </c>
      <c r="Q21" s="14">
        <v>7.4</v>
      </c>
      <c r="R21" s="14">
        <v>7.78</v>
      </c>
      <c r="S21" s="14">
        <v>7.32</v>
      </c>
      <c r="T21" s="14">
        <v>22.1</v>
      </c>
      <c r="U21" s="14">
        <v>8.5500000000000007</v>
      </c>
      <c r="V21" s="14">
        <v>140</v>
      </c>
      <c r="W21" s="1">
        <v>8.16</v>
      </c>
      <c r="X21" s="32">
        <v>5467</v>
      </c>
      <c r="Y21" s="25">
        <v>0.01</v>
      </c>
      <c r="Z21" s="25">
        <v>8000</v>
      </c>
      <c r="AA21" s="25" t="s">
        <v>59</v>
      </c>
      <c r="AB21" s="25">
        <v>10042.51</v>
      </c>
      <c r="AC21" s="25">
        <v>1492.3</v>
      </c>
      <c r="AD21" s="25">
        <v>973859.56</v>
      </c>
      <c r="AE21" s="25">
        <v>12516.58</v>
      </c>
      <c r="AF21" s="25">
        <v>60605.81</v>
      </c>
      <c r="AG21" s="31">
        <v>162.62</v>
      </c>
      <c r="AH21" s="32">
        <v>223.14</v>
      </c>
      <c r="AI21" s="25">
        <v>0.66</v>
      </c>
      <c r="AJ21" s="25">
        <v>19.11</v>
      </c>
      <c r="AK21" s="25">
        <v>0.13</v>
      </c>
      <c r="AL21" s="25">
        <v>190.79</v>
      </c>
      <c r="AM21" s="25">
        <v>0.33</v>
      </c>
      <c r="AN21" s="25">
        <v>717.09</v>
      </c>
      <c r="AO21" s="26">
        <v>1.97</v>
      </c>
    </row>
    <row r="22" spans="1:41" x14ac:dyDescent="0.25">
      <c r="A22" s="76"/>
      <c r="B22" s="79"/>
      <c r="C22" s="14" t="s">
        <v>46</v>
      </c>
      <c r="D22" s="15">
        <v>45057</v>
      </c>
      <c r="E22" s="14">
        <v>50</v>
      </c>
      <c r="F22" s="14">
        <v>8</v>
      </c>
      <c r="G22" s="2">
        <v>1</v>
      </c>
      <c r="H22" s="14">
        <v>1</v>
      </c>
      <c r="I22" s="14">
        <v>1</v>
      </c>
      <c r="J22" s="14">
        <v>0</v>
      </c>
      <c r="K22" s="14">
        <v>0</v>
      </c>
      <c r="L22" s="14">
        <v>1</v>
      </c>
      <c r="M22" s="1">
        <v>0</v>
      </c>
      <c r="N22" s="2">
        <v>15.5</v>
      </c>
      <c r="O22" s="14">
        <v>16.899999999999999</v>
      </c>
      <c r="P22" s="14">
        <v>186</v>
      </c>
      <c r="Q22" s="14">
        <v>7</v>
      </c>
      <c r="R22" s="14">
        <v>7.78</v>
      </c>
      <c r="S22" s="14">
        <v>7.3</v>
      </c>
      <c r="T22" s="14">
        <v>24.1</v>
      </c>
      <c r="U22" s="14">
        <v>9.09</v>
      </c>
      <c r="V22" s="14">
        <v>178</v>
      </c>
      <c r="W22" s="1">
        <v>9.85</v>
      </c>
      <c r="X22" s="32">
        <v>6800</v>
      </c>
      <c r="Y22" s="25">
        <v>5.0000000000000001E-3</v>
      </c>
      <c r="Z22" s="25">
        <v>5667</v>
      </c>
      <c r="AA22" s="25" t="s">
        <v>59</v>
      </c>
      <c r="AB22" s="25">
        <v>17034.29</v>
      </c>
      <c r="AC22" s="25" t="s">
        <v>59</v>
      </c>
      <c r="AD22" s="25">
        <v>1128768.75</v>
      </c>
      <c r="AE22" s="25" t="s">
        <v>59</v>
      </c>
      <c r="AF22" s="25">
        <v>107444.44</v>
      </c>
      <c r="AG22" s="31" t="s">
        <v>59</v>
      </c>
      <c r="AH22" s="32">
        <v>286.2</v>
      </c>
      <c r="AI22" s="25" t="s">
        <v>59</v>
      </c>
      <c r="AJ22" s="25">
        <v>21.63</v>
      </c>
      <c r="AK22" s="25" t="s">
        <v>59</v>
      </c>
      <c r="AL22" s="25">
        <v>150.32</v>
      </c>
      <c r="AM22" s="25" t="s">
        <v>59</v>
      </c>
      <c r="AN22" s="25">
        <v>429.73</v>
      </c>
      <c r="AO22" s="26" t="s">
        <v>59</v>
      </c>
    </row>
    <row r="23" spans="1:41" x14ac:dyDescent="0.25">
      <c r="A23" s="76"/>
      <c r="B23" s="79"/>
      <c r="C23" s="14" t="s">
        <v>47</v>
      </c>
      <c r="D23" s="15">
        <v>45125</v>
      </c>
      <c r="E23" s="14">
        <v>50</v>
      </c>
      <c r="F23" s="14">
        <v>6</v>
      </c>
      <c r="G23" s="2">
        <v>1</v>
      </c>
      <c r="H23" s="14">
        <v>1</v>
      </c>
      <c r="I23" s="14">
        <v>1</v>
      </c>
      <c r="J23" s="14">
        <v>0</v>
      </c>
      <c r="K23" s="14">
        <v>0</v>
      </c>
      <c r="L23" s="14">
        <v>1</v>
      </c>
      <c r="M23" s="1">
        <v>0</v>
      </c>
      <c r="N23" s="2">
        <v>20.399999999999999</v>
      </c>
      <c r="O23" s="14">
        <v>22.6</v>
      </c>
      <c r="P23" s="14">
        <v>266</v>
      </c>
      <c r="Q23" s="14">
        <v>20.399999999999999</v>
      </c>
      <c r="R23" s="14">
        <v>7.59</v>
      </c>
      <c r="S23" s="14">
        <v>7.11</v>
      </c>
      <c r="T23" s="14">
        <v>33.5</v>
      </c>
      <c r="U23" s="14">
        <v>0.82</v>
      </c>
      <c r="V23" s="14">
        <v>339</v>
      </c>
      <c r="W23" s="1">
        <v>15.3</v>
      </c>
      <c r="X23" s="32">
        <v>8300</v>
      </c>
      <c r="Y23" s="25">
        <v>0.04</v>
      </c>
      <c r="Z23" s="25">
        <v>4800</v>
      </c>
      <c r="AA23" s="25" t="s">
        <v>59</v>
      </c>
      <c r="AB23" s="25">
        <v>7202.46</v>
      </c>
      <c r="AC23" s="25">
        <v>693.41</v>
      </c>
      <c r="AD23" s="25">
        <v>1602235.08</v>
      </c>
      <c r="AE23" s="25">
        <v>27592.65</v>
      </c>
      <c r="AF23" s="25">
        <v>85289.1</v>
      </c>
      <c r="AG23" s="31">
        <v>218.09</v>
      </c>
      <c r="AH23" s="32">
        <v>344.76</v>
      </c>
      <c r="AI23" s="25">
        <v>1.66</v>
      </c>
      <c r="AJ23" s="25">
        <v>12.83</v>
      </c>
      <c r="AK23" s="25" t="s">
        <v>59</v>
      </c>
      <c r="AL23" s="25">
        <v>148.55000000000001</v>
      </c>
      <c r="AM23" s="25">
        <v>2.75</v>
      </c>
      <c r="AN23" s="25">
        <v>259.99</v>
      </c>
      <c r="AO23" s="26">
        <v>2.06</v>
      </c>
    </row>
    <row r="24" spans="1:41" x14ac:dyDescent="0.25">
      <c r="A24" s="76"/>
      <c r="B24" s="79"/>
      <c r="C24" s="14" t="s">
        <v>47</v>
      </c>
      <c r="D24" s="15">
        <v>45126</v>
      </c>
      <c r="E24" s="14">
        <v>50</v>
      </c>
      <c r="F24" s="14">
        <v>6</v>
      </c>
      <c r="G24" s="2">
        <v>1</v>
      </c>
      <c r="H24" s="14">
        <v>1</v>
      </c>
      <c r="I24" s="14">
        <v>1</v>
      </c>
      <c r="J24" s="14">
        <v>0</v>
      </c>
      <c r="K24" s="14">
        <v>0</v>
      </c>
      <c r="L24" s="14">
        <v>1</v>
      </c>
      <c r="M24" s="1">
        <v>0</v>
      </c>
      <c r="N24" s="2">
        <v>20.8</v>
      </c>
      <c r="O24" s="14">
        <v>23.3</v>
      </c>
      <c r="P24" s="14">
        <v>273</v>
      </c>
      <c r="Q24" s="14">
        <v>25.4</v>
      </c>
      <c r="R24" s="14">
        <v>7.58</v>
      </c>
      <c r="S24" s="14">
        <v>7.18</v>
      </c>
      <c r="T24" s="14">
        <v>30.1</v>
      </c>
      <c r="U24" s="14">
        <v>0.78</v>
      </c>
      <c r="V24" s="14">
        <v>316</v>
      </c>
      <c r="W24" s="1">
        <v>14.8</v>
      </c>
      <c r="X24" s="32">
        <v>7500</v>
      </c>
      <c r="Y24" s="25">
        <v>0.12</v>
      </c>
      <c r="Z24" s="25">
        <v>4500</v>
      </c>
      <c r="AA24" s="25" t="s">
        <v>59</v>
      </c>
      <c r="AB24" s="25">
        <v>7718.27</v>
      </c>
      <c r="AC24" s="25">
        <v>1707.76</v>
      </c>
      <c r="AD24" s="25">
        <v>1093788.6399999999</v>
      </c>
      <c r="AE24" s="25">
        <v>17222.400000000001</v>
      </c>
      <c r="AF24" s="25">
        <v>178054.61</v>
      </c>
      <c r="AG24" s="31">
        <v>662.71</v>
      </c>
      <c r="AH24" s="32">
        <v>519.54999999999995</v>
      </c>
      <c r="AI24" s="25">
        <v>1.1499999999999999</v>
      </c>
      <c r="AJ24" s="25">
        <v>1.17</v>
      </c>
      <c r="AK24" s="25">
        <v>0.09</v>
      </c>
      <c r="AL24" s="25">
        <v>127.62</v>
      </c>
      <c r="AM24" s="25">
        <v>3.46</v>
      </c>
      <c r="AN24" s="25">
        <v>178.48</v>
      </c>
      <c r="AO24" s="26">
        <v>3.78</v>
      </c>
    </row>
    <row r="25" spans="1:41" x14ac:dyDescent="0.25">
      <c r="A25" s="76"/>
      <c r="B25" s="79"/>
      <c r="C25" s="14" t="s">
        <v>47</v>
      </c>
      <c r="D25" s="15">
        <v>45127</v>
      </c>
      <c r="E25" s="14">
        <v>50</v>
      </c>
      <c r="F25" s="14">
        <v>6</v>
      </c>
      <c r="G25" s="2">
        <v>1</v>
      </c>
      <c r="H25" s="14">
        <v>1</v>
      </c>
      <c r="I25" s="14">
        <v>1</v>
      </c>
      <c r="J25" s="14">
        <v>0</v>
      </c>
      <c r="K25" s="14">
        <v>0</v>
      </c>
      <c r="L25" s="14">
        <v>1</v>
      </c>
      <c r="M25" s="1">
        <v>0</v>
      </c>
      <c r="N25" s="2">
        <v>20.8</v>
      </c>
      <c r="O25" s="14">
        <v>23.8</v>
      </c>
      <c r="P25" s="14">
        <v>251</v>
      </c>
      <c r="Q25" s="14">
        <v>25.2</v>
      </c>
      <c r="R25" s="14">
        <v>7.69</v>
      </c>
      <c r="S25" s="14">
        <v>7.12</v>
      </c>
      <c r="T25" s="14">
        <v>28.5</v>
      </c>
      <c r="U25" s="14">
        <v>0.98</v>
      </c>
      <c r="V25" s="14">
        <v>313</v>
      </c>
      <c r="W25" s="1">
        <v>15.8</v>
      </c>
      <c r="X25" s="32">
        <v>5700</v>
      </c>
      <c r="Y25" s="25">
        <v>0.16</v>
      </c>
      <c r="Z25" s="25">
        <v>3500</v>
      </c>
      <c r="AA25" s="25" t="s">
        <v>59</v>
      </c>
      <c r="AB25" s="25">
        <v>12111.59</v>
      </c>
      <c r="AC25" s="25">
        <v>5054.63</v>
      </c>
      <c r="AD25" s="25">
        <v>2914306.93</v>
      </c>
      <c r="AE25" s="25">
        <v>32061.09</v>
      </c>
      <c r="AF25" s="25">
        <v>203153.48</v>
      </c>
      <c r="AG25" s="31">
        <v>2680.71</v>
      </c>
      <c r="AH25" s="32">
        <v>137.32</v>
      </c>
      <c r="AI25" s="25">
        <v>2.82</v>
      </c>
      <c r="AJ25" s="25">
        <v>30.51</v>
      </c>
      <c r="AK25" s="25">
        <v>0.13</v>
      </c>
      <c r="AL25" s="25">
        <v>386.35</v>
      </c>
      <c r="AM25" s="25">
        <v>8.32</v>
      </c>
      <c r="AN25" s="25">
        <v>512.07000000000005</v>
      </c>
      <c r="AO25" s="26">
        <v>8.44</v>
      </c>
    </row>
    <row r="26" spans="1:41" x14ac:dyDescent="0.25">
      <c r="A26" s="76"/>
      <c r="B26" s="79"/>
      <c r="C26" s="14" t="s">
        <v>48</v>
      </c>
      <c r="D26" s="15">
        <v>45209</v>
      </c>
      <c r="E26" s="14">
        <v>50</v>
      </c>
      <c r="F26" s="14">
        <v>6</v>
      </c>
      <c r="G26" s="2">
        <v>1</v>
      </c>
      <c r="H26" s="14">
        <v>1</v>
      </c>
      <c r="I26" s="14">
        <v>1</v>
      </c>
      <c r="J26" s="14">
        <v>0</v>
      </c>
      <c r="K26" s="14">
        <v>0</v>
      </c>
      <c r="L26" s="14">
        <v>1</v>
      </c>
      <c r="M26" s="1">
        <v>0</v>
      </c>
      <c r="N26" s="2">
        <v>20.9</v>
      </c>
      <c r="O26" s="14">
        <v>21.4</v>
      </c>
      <c r="P26" s="14">
        <v>263</v>
      </c>
      <c r="Q26" s="14">
        <v>13.8</v>
      </c>
      <c r="R26" s="14">
        <v>7.59</v>
      </c>
      <c r="S26" s="14">
        <v>7.19</v>
      </c>
      <c r="T26" s="14">
        <v>27.6</v>
      </c>
      <c r="U26" s="14">
        <v>1.08</v>
      </c>
      <c r="V26" s="14">
        <v>256</v>
      </c>
      <c r="W26" s="1">
        <v>12.3</v>
      </c>
      <c r="X26" s="32">
        <v>8150</v>
      </c>
      <c r="Y26" s="25">
        <v>0.01</v>
      </c>
      <c r="Z26" s="25">
        <v>4250</v>
      </c>
      <c r="AA26" s="25" t="s">
        <v>59</v>
      </c>
      <c r="AB26" s="25">
        <v>31368.57</v>
      </c>
      <c r="AC26" s="25">
        <v>1491.77</v>
      </c>
      <c r="AD26" s="25">
        <v>1309896.8999999999</v>
      </c>
      <c r="AE26" s="25">
        <v>51118.41</v>
      </c>
      <c r="AF26" s="25">
        <v>90840.46</v>
      </c>
      <c r="AG26" s="31">
        <v>290.79000000000002</v>
      </c>
      <c r="AH26" s="32">
        <v>706.3</v>
      </c>
      <c r="AI26" s="25">
        <v>2.36</v>
      </c>
      <c r="AJ26" s="25">
        <v>23.91</v>
      </c>
      <c r="AK26" s="25" t="s">
        <v>59</v>
      </c>
      <c r="AL26" s="25">
        <v>126.44</v>
      </c>
      <c r="AM26" s="25">
        <v>1.34</v>
      </c>
      <c r="AN26" s="25">
        <v>71.59</v>
      </c>
      <c r="AO26" s="26">
        <v>0.67</v>
      </c>
    </row>
    <row r="27" spans="1:41" x14ac:dyDescent="0.25">
      <c r="A27" s="76"/>
      <c r="B27" s="79"/>
      <c r="C27" s="14" t="s">
        <v>48</v>
      </c>
      <c r="D27" s="15">
        <v>45210</v>
      </c>
      <c r="E27" s="14">
        <v>50</v>
      </c>
      <c r="F27" s="14">
        <v>6</v>
      </c>
      <c r="G27" s="2">
        <v>1</v>
      </c>
      <c r="H27" s="14">
        <v>1</v>
      </c>
      <c r="I27" s="14">
        <v>1</v>
      </c>
      <c r="J27" s="14">
        <v>0</v>
      </c>
      <c r="K27" s="14">
        <v>0</v>
      </c>
      <c r="L27" s="14">
        <v>1</v>
      </c>
      <c r="M27" s="1">
        <v>0</v>
      </c>
      <c r="N27" s="2">
        <v>20.9</v>
      </c>
      <c r="O27" s="14">
        <v>20.5</v>
      </c>
      <c r="P27" s="14">
        <v>241</v>
      </c>
      <c r="Q27" s="14">
        <v>13</v>
      </c>
      <c r="R27" s="14">
        <v>7.68</v>
      </c>
      <c r="S27" s="14">
        <v>7.2</v>
      </c>
      <c r="T27" s="14">
        <v>29.2</v>
      </c>
      <c r="U27" s="14">
        <v>1.41</v>
      </c>
      <c r="V27" s="14">
        <v>192</v>
      </c>
      <c r="W27" s="1">
        <v>7.95</v>
      </c>
      <c r="X27" s="32">
        <v>6350</v>
      </c>
      <c r="Y27" s="25">
        <v>0.1</v>
      </c>
      <c r="Z27" s="25">
        <v>4200</v>
      </c>
      <c r="AA27" s="25" t="s">
        <v>59</v>
      </c>
      <c r="AB27" s="25">
        <v>33193.800000000003</v>
      </c>
      <c r="AC27" s="25">
        <v>1896.56</v>
      </c>
      <c r="AD27" s="25">
        <v>3741341.54</v>
      </c>
      <c r="AE27" s="25">
        <v>16446.63</v>
      </c>
      <c r="AF27" s="25">
        <v>128517.17</v>
      </c>
      <c r="AG27" s="31">
        <v>203.6</v>
      </c>
      <c r="AH27" s="32">
        <v>1466.86</v>
      </c>
      <c r="AI27" s="25">
        <v>0.12</v>
      </c>
      <c r="AJ27" s="25">
        <v>45.35</v>
      </c>
      <c r="AK27" s="25" t="s">
        <v>59</v>
      </c>
      <c r="AL27" s="25">
        <v>40.07</v>
      </c>
      <c r="AM27" s="25">
        <v>1.78</v>
      </c>
      <c r="AN27" s="25">
        <v>70.5</v>
      </c>
      <c r="AO27" s="26">
        <v>1.1100000000000001</v>
      </c>
    </row>
    <row r="28" spans="1:41" ht="15.75" thickBot="1" x14ac:dyDescent="0.3">
      <c r="A28" s="77"/>
      <c r="B28" s="80"/>
      <c r="C28" s="9" t="s">
        <v>48</v>
      </c>
      <c r="D28" s="16">
        <v>45211</v>
      </c>
      <c r="E28" s="9">
        <v>50</v>
      </c>
      <c r="F28" s="9">
        <v>6</v>
      </c>
      <c r="G28" s="18">
        <v>1</v>
      </c>
      <c r="H28" s="9">
        <v>1</v>
      </c>
      <c r="I28" s="9">
        <v>1</v>
      </c>
      <c r="J28" s="9">
        <v>0</v>
      </c>
      <c r="K28" s="9">
        <v>0</v>
      </c>
      <c r="L28" s="9">
        <v>1</v>
      </c>
      <c r="M28" s="17">
        <v>0</v>
      </c>
      <c r="N28" s="18">
        <v>20.399999999999999</v>
      </c>
      <c r="O28" s="9">
        <v>18.5</v>
      </c>
      <c r="P28" s="9">
        <v>253</v>
      </c>
      <c r="Q28" s="9">
        <v>10.4</v>
      </c>
      <c r="R28" s="9">
        <v>7.64</v>
      </c>
      <c r="S28" s="9">
        <v>7.15</v>
      </c>
      <c r="T28" s="9">
        <v>26.3</v>
      </c>
      <c r="U28" s="9">
        <v>2.52</v>
      </c>
      <c r="V28" s="9">
        <v>227</v>
      </c>
      <c r="W28" s="17">
        <v>9.64</v>
      </c>
      <c r="X28" s="34">
        <v>7800</v>
      </c>
      <c r="Y28" s="27">
        <v>0.1</v>
      </c>
      <c r="Z28" s="27">
        <v>4550</v>
      </c>
      <c r="AA28" s="27" t="s">
        <v>59</v>
      </c>
      <c r="AB28" s="27">
        <v>20587.919999999998</v>
      </c>
      <c r="AC28" s="27">
        <v>3985.91</v>
      </c>
      <c r="AD28" s="27">
        <v>4113561.63</v>
      </c>
      <c r="AE28" s="27">
        <v>64979.199999999997</v>
      </c>
      <c r="AF28" s="27">
        <v>222804.58</v>
      </c>
      <c r="AG28" s="33">
        <v>100.55</v>
      </c>
      <c r="AH28" s="34">
        <v>1463.87</v>
      </c>
      <c r="AI28" s="27">
        <v>2.92</v>
      </c>
      <c r="AJ28" s="27">
        <v>67.12</v>
      </c>
      <c r="AK28" s="27">
        <v>0.1</v>
      </c>
      <c r="AL28" s="27">
        <v>37.19</v>
      </c>
      <c r="AM28" s="27">
        <v>1.1000000000000001</v>
      </c>
      <c r="AN28" s="27">
        <v>129.27000000000001</v>
      </c>
      <c r="AO28" s="28">
        <v>1.34</v>
      </c>
    </row>
    <row r="29" spans="1:41" x14ac:dyDescent="0.25">
      <c r="A29" s="75" t="s">
        <v>54</v>
      </c>
      <c r="B29" s="78" t="s">
        <v>56</v>
      </c>
      <c r="C29" s="10" t="s">
        <v>51</v>
      </c>
      <c r="D29" s="11">
        <v>44956</v>
      </c>
      <c r="E29" s="10">
        <v>1.2</v>
      </c>
      <c r="F29" s="10">
        <v>26.6</v>
      </c>
      <c r="G29" s="13">
        <v>0</v>
      </c>
      <c r="H29" s="10">
        <v>1</v>
      </c>
      <c r="I29" s="10">
        <v>1</v>
      </c>
      <c r="J29" s="10">
        <v>0</v>
      </c>
      <c r="K29" s="10">
        <v>0</v>
      </c>
      <c r="L29" s="10">
        <v>0</v>
      </c>
      <c r="M29" s="12">
        <v>0</v>
      </c>
      <c r="N29" s="39">
        <v>17.899999999999999</v>
      </c>
      <c r="O29" s="40">
        <v>16.22</v>
      </c>
      <c r="P29" s="41" t="s">
        <v>58</v>
      </c>
      <c r="Q29" s="41" t="s">
        <v>58</v>
      </c>
      <c r="R29" s="40">
        <v>7.5</v>
      </c>
      <c r="S29" s="40">
        <v>7.7</v>
      </c>
      <c r="T29" s="41" t="s">
        <v>58</v>
      </c>
      <c r="U29" s="41" t="s">
        <v>58</v>
      </c>
      <c r="V29" s="40">
        <v>190</v>
      </c>
      <c r="W29" s="41" t="s">
        <v>58</v>
      </c>
      <c r="X29" s="42">
        <v>1156</v>
      </c>
      <c r="Y29" s="36" t="s">
        <v>59</v>
      </c>
      <c r="Z29" s="43">
        <v>724</v>
      </c>
      <c r="AA29" s="36" t="s">
        <v>59</v>
      </c>
      <c r="AB29" s="36">
        <v>513044.91560000001</v>
      </c>
      <c r="AC29" s="36">
        <v>4837.4874799999998</v>
      </c>
      <c r="AD29" s="36">
        <v>7168519.2808499997</v>
      </c>
      <c r="AE29" s="36">
        <v>29302.273639999999</v>
      </c>
      <c r="AF29" s="36">
        <v>494041.55554999999</v>
      </c>
      <c r="AG29" s="37">
        <v>5.527187005</v>
      </c>
      <c r="AH29" s="44">
        <v>1104.5969083750001</v>
      </c>
      <c r="AI29" s="36" t="s">
        <v>59</v>
      </c>
      <c r="AJ29" s="36">
        <v>2885.1374970000002</v>
      </c>
      <c r="AK29" s="36" t="s">
        <v>59</v>
      </c>
      <c r="AL29" s="36">
        <v>522.85723797499998</v>
      </c>
      <c r="AM29" s="36" t="s">
        <v>59</v>
      </c>
      <c r="AN29" s="36">
        <v>2084.8476459499998</v>
      </c>
      <c r="AO29" s="45" t="s">
        <v>59</v>
      </c>
    </row>
    <row r="30" spans="1:41" x14ac:dyDescent="0.25">
      <c r="A30" s="76"/>
      <c r="B30" s="79"/>
      <c r="C30" s="14" t="s">
        <v>51</v>
      </c>
      <c r="D30" s="15">
        <v>44958</v>
      </c>
      <c r="E30" s="14">
        <v>1.2</v>
      </c>
      <c r="F30" s="14">
        <v>26.6</v>
      </c>
      <c r="G30" s="2">
        <v>0</v>
      </c>
      <c r="H30" s="14">
        <v>1</v>
      </c>
      <c r="I30" s="14">
        <v>1</v>
      </c>
      <c r="J30" s="14">
        <v>0</v>
      </c>
      <c r="K30" s="14">
        <v>0</v>
      </c>
      <c r="L30" s="14">
        <v>0</v>
      </c>
      <c r="M30" s="1">
        <v>0</v>
      </c>
      <c r="N30" s="46">
        <v>18.2</v>
      </c>
      <c r="O30" s="47">
        <v>16.72</v>
      </c>
      <c r="P30" s="47">
        <v>87</v>
      </c>
      <c r="Q30" s="47">
        <v>1.8</v>
      </c>
      <c r="R30" s="47">
        <v>7.5</v>
      </c>
      <c r="S30" s="47">
        <v>7.6</v>
      </c>
      <c r="T30" s="48" t="s">
        <v>58</v>
      </c>
      <c r="U30" s="48" t="s">
        <v>58</v>
      </c>
      <c r="V30" s="47">
        <v>190</v>
      </c>
      <c r="W30" s="49">
        <v>5.2</v>
      </c>
      <c r="X30" s="50">
        <v>770</v>
      </c>
      <c r="Y30" s="35" t="s">
        <v>59</v>
      </c>
      <c r="Z30" s="51">
        <v>3400</v>
      </c>
      <c r="AA30" s="35" t="s">
        <v>59</v>
      </c>
      <c r="AB30" s="35">
        <v>486728.85677499999</v>
      </c>
      <c r="AC30" s="35">
        <v>3081.2593899990002</v>
      </c>
      <c r="AD30" s="35">
        <v>8530754.8745000008</v>
      </c>
      <c r="AE30" s="35">
        <v>20658.18059</v>
      </c>
      <c r="AF30" s="35">
        <v>473021.19640000002</v>
      </c>
      <c r="AG30" s="38" t="s">
        <v>59</v>
      </c>
      <c r="AH30" s="52">
        <v>125.2590326</v>
      </c>
      <c r="AI30" s="35">
        <v>7.927985679999999</v>
      </c>
      <c r="AJ30" s="35">
        <v>2689.7839705000001</v>
      </c>
      <c r="AK30" s="35" t="s">
        <v>59</v>
      </c>
      <c r="AL30" s="35">
        <v>190.51459507499999</v>
      </c>
      <c r="AM30" s="35" t="s">
        <v>59</v>
      </c>
      <c r="AN30" s="35">
        <v>1132.9785859250001</v>
      </c>
      <c r="AO30" s="53">
        <v>6.5301583350000003</v>
      </c>
    </row>
    <row r="31" spans="1:41" x14ac:dyDescent="0.25">
      <c r="A31" s="76"/>
      <c r="B31" s="79"/>
      <c r="C31" s="14" t="s">
        <v>46</v>
      </c>
      <c r="D31" s="15">
        <v>45048</v>
      </c>
      <c r="E31" s="14">
        <v>1.2</v>
      </c>
      <c r="F31" s="14">
        <v>29.5</v>
      </c>
      <c r="G31" s="2">
        <v>0</v>
      </c>
      <c r="H31" s="14">
        <v>1</v>
      </c>
      <c r="I31" s="14">
        <v>1</v>
      </c>
      <c r="J31" s="14">
        <v>0</v>
      </c>
      <c r="K31" s="14">
        <v>0</v>
      </c>
      <c r="L31" s="14">
        <v>0</v>
      </c>
      <c r="M31" s="1">
        <v>0</v>
      </c>
      <c r="N31" s="46">
        <v>20.5</v>
      </c>
      <c r="O31" s="47">
        <v>19.78</v>
      </c>
      <c r="P31" s="48" t="s">
        <v>58</v>
      </c>
      <c r="Q31" s="48" t="s">
        <v>58</v>
      </c>
      <c r="R31" s="47">
        <v>7.6</v>
      </c>
      <c r="S31" s="47">
        <v>7.4</v>
      </c>
      <c r="T31" s="47">
        <v>15</v>
      </c>
      <c r="U31" s="47">
        <v>0.22</v>
      </c>
      <c r="V31" s="48" t="s">
        <v>58</v>
      </c>
      <c r="W31" s="48" t="s">
        <v>58</v>
      </c>
      <c r="X31" s="50">
        <v>9560</v>
      </c>
      <c r="Y31" s="35" t="s">
        <v>59</v>
      </c>
      <c r="Z31" s="51">
        <v>4800</v>
      </c>
      <c r="AA31" s="35" t="s">
        <v>59</v>
      </c>
      <c r="AB31" s="35">
        <v>2613657.0935450001</v>
      </c>
      <c r="AC31" s="35">
        <v>15539.352965</v>
      </c>
      <c r="AD31" s="35">
        <v>10152051.710875001</v>
      </c>
      <c r="AE31" s="35">
        <v>100338.80205</v>
      </c>
      <c r="AF31" s="35">
        <v>1215484.4156899999</v>
      </c>
      <c r="AG31" s="38" t="s">
        <v>59</v>
      </c>
      <c r="AH31" s="52">
        <v>1316.8002427875001</v>
      </c>
      <c r="AI31" s="35">
        <v>5.6574662550000001</v>
      </c>
      <c r="AJ31" s="35">
        <v>4625.9938643075002</v>
      </c>
      <c r="AK31" s="35" t="s">
        <v>59</v>
      </c>
      <c r="AL31" s="35">
        <v>867.46386700000005</v>
      </c>
      <c r="AM31" s="35" t="s">
        <v>59</v>
      </c>
      <c r="AN31" s="35">
        <v>2279.2449335000001</v>
      </c>
      <c r="AO31" s="53" t="s">
        <v>59</v>
      </c>
    </row>
    <row r="32" spans="1:41" x14ac:dyDescent="0.25">
      <c r="A32" s="76"/>
      <c r="B32" s="79"/>
      <c r="C32" s="14" t="s">
        <v>46</v>
      </c>
      <c r="D32" s="15">
        <v>45049</v>
      </c>
      <c r="E32" s="14">
        <v>1.2</v>
      </c>
      <c r="F32" s="14">
        <v>29.5</v>
      </c>
      <c r="G32" s="2">
        <v>0</v>
      </c>
      <c r="H32" s="14">
        <v>1</v>
      </c>
      <c r="I32" s="14">
        <v>1</v>
      </c>
      <c r="J32" s="14">
        <v>0</v>
      </c>
      <c r="K32" s="14">
        <v>0</v>
      </c>
      <c r="L32" s="14">
        <v>0</v>
      </c>
      <c r="M32" s="1">
        <v>0</v>
      </c>
      <c r="N32" s="46">
        <v>20.5</v>
      </c>
      <c r="O32" s="47">
        <v>19.89</v>
      </c>
      <c r="P32" s="47">
        <v>110</v>
      </c>
      <c r="Q32" s="47">
        <v>2</v>
      </c>
      <c r="R32" s="47">
        <v>7.5</v>
      </c>
      <c r="S32" s="47">
        <v>7.5</v>
      </c>
      <c r="T32" s="48" t="s">
        <v>58</v>
      </c>
      <c r="U32" s="48" t="s">
        <v>58</v>
      </c>
      <c r="V32" s="47">
        <v>300</v>
      </c>
      <c r="W32" s="49">
        <v>2.7</v>
      </c>
      <c r="X32" s="50">
        <v>700</v>
      </c>
      <c r="Y32" s="35" t="s">
        <v>59</v>
      </c>
      <c r="Z32" s="51">
        <v>2600</v>
      </c>
      <c r="AA32" s="35" t="s">
        <v>59</v>
      </c>
      <c r="AB32" s="35">
        <v>2337191.4305024999</v>
      </c>
      <c r="AC32" s="35">
        <v>2591.9947699999998</v>
      </c>
      <c r="AD32" s="35">
        <v>8113189.2653249996</v>
      </c>
      <c r="AE32" s="35">
        <v>14724.938029999999</v>
      </c>
      <c r="AF32" s="35">
        <v>1210695.904845</v>
      </c>
      <c r="AG32" s="38" t="s">
        <v>59</v>
      </c>
      <c r="AH32" s="52">
        <v>444.21933846500002</v>
      </c>
      <c r="AI32" s="35" t="s">
        <v>59</v>
      </c>
      <c r="AJ32" s="35">
        <v>4709.6849984700002</v>
      </c>
      <c r="AK32" s="35" t="s">
        <v>59</v>
      </c>
      <c r="AL32" s="35">
        <v>10249.372049150001</v>
      </c>
      <c r="AM32" s="35" t="s">
        <v>59</v>
      </c>
      <c r="AN32" s="35">
        <v>898.36597452499996</v>
      </c>
      <c r="AO32" s="53" t="s">
        <v>59</v>
      </c>
    </row>
    <row r="33" spans="1:41" x14ac:dyDescent="0.25">
      <c r="A33" s="76"/>
      <c r="B33" s="79"/>
      <c r="C33" s="14" t="s">
        <v>46</v>
      </c>
      <c r="D33" s="15">
        <v>45050</v>
      </c>
      <c r="E33" s="14">
        <v>1.2</v>
      </c>
      <c r="F33" s="14">
        <v>29.5</v>
      </c>
      <c r="G33" s="2">
        <v>0</v>
      </c>
      <c r="H33" s="14">
        <v>1</v>
      </c>
      <c r="I33" s="14">
        <v>1</v>
      </c>
      <c r="J33" s="14">
        <v>0</v>
      </c>
      <c r="K33" s="14">
        <v>0</v>
      </c>
      <c r="L33" s="14">
        <v>0</v>
      </c>
      <c r="M33" s="1">
        <v>0</v>
      </c>
      <c r="N33" s="46">
        <v>20.399999999999999</v>
      </c>
      <c r="O33" s="47">
        <v>19.89</v>
      </c>
      <c r="P33" s="47">
        <v>160</v>
      </c>
      <c r="Q33" s="47">
        <v>1.4</v>
      </c>
      <c r="R33" s="47">
        <v>7.6</v>
      </c>
      <c r="S33" s="47">
        <v>7.6</v>
      </c>
      <c r="T33" s="47">
        <v>16</v>
      </c>
      <c r="U33" s="47">
        <v>0.88</v>
      </c>
      <c r="V33" s="47">
        <v>160</v>
      </c>
      <c r="W33" s="49">
        <v>2.9</v>
      </c>
      <c r="X33" s="50">
        <v>1280</v>
      </c>
      <c r="Y33" s="35" t="s">
        <v>59</v>
      </c>
      <c r="Z33" s="51">
        <v>1524</v>
      </c>
      <c r="AA33" s="35" t="s">
        <v>59</v>
      </c>
      <c r="AB33" s="35">
        <v>2296443.129315</v>
      </c>
      <c r="AC33" s="35">
        <v>1726.0740619999999</v>
      </c>
      <c r="AD33" s="35">
        <v>6267483.1449250001</v>
      </c>
      <c r="AE33" s="35">
        <v>10185.9616035</v>
      </c>
      <c r="AF33" s="35">
        <v>1251026.9955475</v>
      </c>
      <c r="AG33" s="38">
        <v>5.4697739749999998</v>
      </c>
      <c r="AH33" s="52">
        <v>1321.7608930250001</v>
      </c>
      <c r="AI33" s="35">
        <v>10.815169259999999</v>
      </c>
      <c r="AJ33" s="35">
        <v>2977.3325658449999</v>
      </c>
      <c r="AK33" s="35" t="s">
        <v>59</v>
      </c>
      <c r="AL33" s="35">
        <v>1520.7865329225001</v>
      </c>
      <c r="AM33" s="35" t="s">
        <v>59</v>
      </c>
      <c r="AN33" s="35">
        <v>906.65758878999986</v>
      </c>
      <c r="AO33" s="53" t="s">
        <v>59</v>
      </c>
    </row>
    <row r="34" spans="1:41" x14ac:dyDescent="0.25">
      <c r="A34" s="76"/>
      <c r="B34" s="79"/>
      <c r="C34" s="14" t="s">
        <v>47</v>
      </c>
      <c r="D34" s="15">
        <v>45132</v>
      </c>
      <c r="E34" s="14">
        <v>1.2</v>
      </c>
      <c r="F34" s="14">
        <v>30</v>
      </c>
      <c r="G34" s="2">
        <v>0</v>
      </c>
      <c r="H34" s="14">
        <v>1</v>
      </c>
      <c r="I34" s="14">
        <v>1</v>
      </c>
      <c r="J34" s="14">
        <v>0</v>
      </c>
      <c r="K34" s="14">
        <v>0</v>
      </c>
      <c r="L34" s="14">
        <v>0</v>
      </c>
      <c r="M34" s="1">
        <v>0</v>
      </c>
      <c r="N34" s="46">
        <v>25.3</v>
      </c>
      <c r="O34" s="47">
        <v>25</v>
      </c>
      <c r="P34" s="47">
        <v>156</v>
      </c>
      <c r="Q34" s="47">
        <v>0.5</v>
      </c>
      <c r="R34" s="47">
        <v>7.5</v>
      </c>
      <c r="S34" s="47">
        <v>7.4</v>
      </c>
      <c r="T34" s="48" t="s">
        <v>58</v>
      </c>
      <c r="U34" s="48" t="s">
        <v>58</v>
      </c>
      <c r="V34" s="47">
        <v>140</v>
      </c>
      <c r="W34" s="49">
        <v>5</v>
      </c>
      <c r="X34" s="50">
        <v>1650</v>
      </c>
      <c r="Y34" s="35" t="s">
        <v>59</v>
      </c>
      <c r="Z34" s="51">
        <v>3040</v>
      </c>
      <c r="AA34" s="35" t="s">
        <v>59</v>
      </c>
      <c r="AB34" s="35">
        <v>155049.89467499999</v>
      </c>
      <c r="AC34" s="35">
        <v>4667.1186399999997</v>
      </c>
      <c r="AD34" s="35">
        <v>7436451.8729750002</v>
      </c>
      <c r="AE34" s="35">
        <v>43560.929989999997</v>
      </c>
      <c r="AF34" s="35">
        <v>560266.91145000001</v>
      </c>
      <c r="AG34" s="38" t="s">
        <v>59</v>
      </c>
      <c r="AH34" s="52">
        <v>1041.0011731249999</v>
      </c>
      <c r="AI34" s="35">
        <v>7.8671516499999994</v>
      </c>
      <c r="AJ34" s="35">
        <v>2755.0093822499998</v>
      </c>
      <c r="AK34" s="35" t="s">
        <v>59</v>
      </c>
      <c r="AL34" s="35" t="s">
        <v>58</v>
      </c>
      <c r="AM34" s="35" t="s">
        <v>58</v>
      </c>
      <c r="AN34" s="35">
        <v>292.01594377499998</v>
      </c>
      <c r="AO34" s="53" t="s">
        <v>59</v>
      </c>
    </row>
    <row r="35" spans="1:41" x14ac:dyDescent="0.25">
      <c r="A35" s="76"/>
      <c r="B35" s="79"/>
      <c r="C35" s="14" t="s">
        <v>47</v>
      </c>
      <c r="D35" s="15">
        <v>45133</v>
      </c>
      <c r="E35" s="14">
        <v>1.2</v>
      </c>
      <c r="F35" s="14">
        <v>30</v>
      </c>
      <c r="G35" s="2">
        <v>0</v>
      </c>
      <c r="H35" s="14">
        <v>1</v>
      </c>
      <c r="I35" s="14">
        <v>1</v>
      </c>
      <c r="J35" s="14">
        <v>0</v>
      </c>
      <c r="K35" s="14">
        <v>0</v>
      </c>
      <c r="L35" s="14">
        <v>0</v>
      </c>
      <c r="M35" s="1">
        <v>0</v>
      </c>
      <c r="N35" s="46">
        <v>25.2</v>
      </c>
      <c r="O35" s="47">
        <v>25</v>
      </c>
      <c r="P35" s="47">
        <v>150</v>
      </c>
      <c r="Q35" s="47">
        <v>0.5</v>
      </c>
      <c r="R35" s="47">
        <v>7.4</v>
      </c>
      <c r="S35" s="47">
        <v>7.6</v>
      </c>
      <c r="T35" s="48" t="s">
        <v>58</v>
      </c>
      <c r="U35" s="48" t="s">
        <v>58</v>
      </c>
      <c r="V35" s="47">
        <v>170</v>
      </c>
      <c r="W35" s="49">
        <v>3.1</v>
      </c>
      <c r="X35" s="50">
        <v>4700</v>
      </c>
      <c r="Y35" s="35" t="s">
        <v>59</v>
      </c>
      <c r="Z35" s="51">
        <v>3390</v>
      </c>
      <c r="AA35" s="35" t="s">
        <v>59</v>
      </c>
      <c r="AB35" s="35">
        <v>241822.36347000001</v>
      </c>
      <c r="AC35" s="35">
        <v>10921.113154999999</v>
      </c>
      <c r="AD35" s="35">
        <v>23100000</v>
      </c>
      <c r="AE35" s="35">
        <v>167307.83755</v>
      </c>
      <c r="AF35" s="35">
        <v>792209.57594999997</v>
      </c>
      <c r="AG35" s="38" t="s">
        <v>59</v>
      </c>
      <c r="AH35" s="52">
        <v>794.17880979999995</v>
      </c>
      <c r="AI35" s="35" t="s">
        <v>59</v>
      </c>
      <c r="AJ35" s="35">
        <v>2580.3957287500002</v>
      </c>
      <c r="AK35" s="35" t="s">
        <v>59</v>
      </c>
      <c r="AL35" s="35">
        <v>81.966265649999997</v>
      </c>
      <c r="AM35" s="35" t="s">
        <v>59</v>
      </c>
      <c r="AN35" s="35">
        <v>801.24641982499998</v>
      </c>
      <c r="AO35" s="53" t="s">
        <v>59</v>
      </c>
    </row>
    <row r="36" spans="1:41" x14ac:dyDescent="0.25">
      <c r="A36" s="76"/>
      <c r="B36" s="79"/>
      <c r="C36" s="14" t="s">
        <v>47</v>
      </c>
      <c r="D36" s="15">
        <v>45134</v>
      </c>
      <c r="E36" s="14">
        <v>1.2</v>
      </c>
      <c r="F36" s="14">
        <v>30</v>
      </c>
      <c r="G36" s="2">
        <v>0</v>
      </c>
      <c r="H36" s="14">
        <v>1</v>
      </c>
      <c r="I36" s="14">
        <v>1</v>
      </c>
      <c r="J36" s="14">
        <v>0</v>
      </c>
      <c r="K36" s="14">
        <v>0</v>
      </c>
      <c r="L36" s="14">
        <v>0</v>
      </c>
      <c r="M36" s="1">
        <v>0</v>
      </c>
      <c r="N36" s="46">
        <v>25.6</v>
      </c>
      <c r="O36" s="47">
        <v>24</v>
      </c>
      <c r="P36" s="48" t="s">
        <v>58</v>
      </c>
      <c r="Q36" s="48" t="s">
        <v>58</v>
      </c>
      <c r="R36" s="47">
        <v>7.5</v>
      </c>
      <c r="S36" s="47">
        <v>7.6</v>
      </c>
      <c r="T36" s="48" t="s">
        <v>58</v>
      </c>
      <c r="U36" s="48" t="s">
        <v>58</v>
      </c>
      <c r="V36" s="48" t="s">
        <v>58</v>
      </c>
      <c r="W36" s="48" t="s">
        <v>58</v>
      </c>
      <c r="X36" s="50">
        <v>3720</v>
      </c>
      <c r="Y36" s="35" t="s">
        <v>59</v>
      </c>
      <c r="Z36" s="51">
        <v>1775</v>
      </c>
      <c r="AA36" s="35" t="s">
        <v>59</v>
      </c>
      <c r="AB36" s="35">
        <v>258009.56297500001</v>
      </c>
      <c r="AC36" s="35">
        <v>6648.5357819999999</v>
      </c>
      <c r="AD36" s="35">
        <v>22450000</v>
      </c>
      <c r="AE36" s="35">
        <v>118059.72560000001</v>
      </c>
      <c r="AF36" s="35">
        <v>922199.25005000003</v>
      </c>
      <c r="AG36" s="38" t="s">
        <v>59</v>
      </c>
      <c r="AH36" s="52">
        <v>2058.2771913249999</v>
      </c>
      <c r="AI36" s="35">
        <v>15.915467189999999</v>
      </c>
      <c r="AJ36" s="35">
        <v>2571.0679140000002</v>
      </c>
      <c r="AK36" s="35" t="s">
        <v>59</v>
      </c>
      <c r="AL36" s="35">
        <v>241.44839020000001</v>
      </c>
      <c r="AM36" s="35" t="s">
        <v>59</v>
      </c>
      <c r="AN36" s="35">
        <v>662.41049772500003</v>
      </c>
      <c r="AO36" s="53">
        <v>13.007454385000001</v>
      </c>
    </row>
    <row r="37" spans="1:41" x14ac:dyDescent="0.25">
      <c r="A37" s="76"/>
      <c r="B37" s="79"/>
      <c r="C37" s="14" t="s">
        <v>48</v>
      </c>
      <c r="D37" s="15">
        <v>45195</v>
      </c>
      <c r="E37" s="14">
        <v>1.2</v>
      </c>
      <c r="F37" s="14">
        <v>37.200000000000003</v>
      </c>
      <c r="G37" s="2">
        <v>0</v>
      </c>
      <c r="H37" s="14">
        <v>1</v>
      </c>
      <c r="I37" s="14">
        <v>1</v>
      </c>
      <c r="J37" s="14">
        <v>0</v>
      </c>
      <c r="K37" s="14">
        <v>0</v>
      </c>
      <c r="L37" s="14">
        <v>0</v>
      </c>
      <c r="M37" s="1">
        <v>0</v>
      </c>
      <c r="N37" s="46">
        <v>23.2</v>
      </c>
      <c r="O37" s="47">
        <v>22.8</v>
      </c>
      <c r="P37" s="48" t="s">
        <v>58</v>
      </c>
      <c r="Q37" s="48" t="s">
        <v>58</v>
      </c>
      <c r="R37" s="47">
        <v>7.4</v>
      </c>
      <c r="S37" s="47">
        <v>7.6</v>
      </c>
      <c r="T37" s="48" t="s">
        <v>58</v>
      </c>
      <c r="U37" s="48" t="s">
        <v>58</v>
      </c>
      <c r="V37" s="48" t="s">
        <v>58</v>
      </c>
      <c r="W37" s="48" t="s">
        <v>58</v>
      </c>
      <c r="X37" s="52">
        <v>1502</v>
      </c>
      <c r="Y37" s="35">
        <v>0.04</v>
      </c>
      <c r="Z37" s="35">
        <v>1170</v>
      </c>
      <c r="AA37" s="35" t="s">
        <v>59</v>
      </c>
      <c r="AB37" s="35">
        <v>304472.39647500002</v>
      </c>
      <c r="AC37" s="35">
        <v>102.63624924</v>
      </c>
      <c r="AD37" s="35">
        <v>4543348.1069750004</v>
      </c>
      <c r="AE37" s="35">
        <v>558.91048724999996</v>
      </c>
      <c r="AF37" s="35">
        <v>317977.70964999998</v>
      </c>
      <c r="AG37" s="38" t="s">
        <v>59</v>
      </c>
      <c r="AH37" s="52">
        <v>988.39722339999992</v>
      </c>
      <c r="AI37" s="35" t="s">
        <v>59</v>
      </c>
      <c r="AJ37" s="35">
        <v>11025.02669666667</v>
      </c>
      <c r="AK37" s="35" t="s">
        <v>59</v>
      </c>
      <c r="AL37" s="35">
        <v>13474.080647500001</v>
      </c>
      <c r="AM37" s="35" t="s">
        <v>59</v>
      </c>
      <c r="AN37" s="35">
        <v>1863.3968279999999</v>
      </c>
      <c r="AO37" s="53" t="s">
        <v>59</v>
      </c>
    </row>
    <row r="38" spans="1:41" x14ac:dyDescent="0.25">
      <c r="A38" s="76"/>
      <c r="B38" s="79"/>
      <c r="C38" s="14" t="s">
        <v>48</v>
      </c>
      <c r="D38" s="15">
        <v>45196</v>
      </c>
      <c r="E38" s="14">
        <v>1.2</v>
      </c>
      <c r="F38" s="14">
        <v>37.200000000000003</v>
      </c>
      <c r="G38" s="2">
        <v>0</v>
      </c>
      <c r="H38" s="14">
        <v>1</v>
      </c>
      <c r="I38" s="14">
        <v>1</v>
      </c>
      <c r="J38" s="14">
        <v>0</v>
      </c>
      <c r="K38" s="14">
        <v>0</v>
      </c>
      <c r="L38" s="14">
        <v>0</v>
      </c>
      <c r="M38" s="1">
        <v>0</v>
      </c>
      <c r="N38" s="46">
        <v>24.2</v>
      </c>
      <c r="O38" s="47">
        <v>23.1</v>
      </c>
      <c r="P38" s="47">
        <v>186</v>
      </c>
      <c r="Q38" s="47">
        <v>1.1000000000000001</v>
      </c>
      <c r="R38" s="47">
        <v>8</v>
      </c>
      <c r="S38" s="47">
        <v>7.7</v>
      </c>
      <c r="T38" s="47">
        <v>33</v>
      </c>
      <c r="U38" s="47">
        <v>7.0000000000000001E-3</v>
      </c>
      <c r="V38" s="47">
        <v>205</v>
      </c>
      <c r="W38" s="49">
        <v>4.2</v>
      </c>
      <c r="X38" s="52">
        <v>2824</v>
      </c>
      <c r="Y38" s="35" t="s">
        <v>59</v>
      </c>
      <c r="Z38" s="35">
        <v>3618</v>
      </c>
      <c r="AA38" s="35" t="s">
        <v>59</v>
      </c>
      <c r="AB38" s="35">
        <v>306040.69167500001</v>
      </c>
      <c r="AC38" s="35">
        <v>1787.675123</v>
      </c>
      <c r="AD38" s="35">
        <v>5850000</v>
      </c>
      <c r="AE38" s="35">
        <v>18704.809570000001</v>
      </c>
      <c r="AF38" s="35">
        <v>298758.540225</v>
      </c>
      <c r="AG38" s="38" t="s">
        <v>59</v>
      </c>
      <c r="AH38" s="52">
        <v>984.50582440000005</v>
      </c>
      <c r="AI38" s="35" t="s">
        <v>59</v>
      </c>
      <c r="AJ38" s="35">
        <v>11750.185321000001</v>
      </c>
      <c r="AK38" s="35" t="s">
        <v>59</v>
      </c>
      <c r="AL38" s="35">
        <v>10063.233448749999</v>
      </c>
      <c r="AM38" s="35" t="s">
        <v>59</v>
      </c>
      <c r="AN38" s="35">
        <v>1083.0332927500001</v>
      </c>
      <c r="AO38" s="53" t="s">
        <v>59</v>
      </c>
    </row>
    <row r="39" spans="1:41" ht="15.75" thickBot="1" x14ac:dyDescent="0.3">
      <c r="A39" s="77"/>
      <c r="B39" s="80"/>
      <c r="C39" s="9" t="s">
        <v>48</v>
      </c>
      <c r="D39" s="16">
        <v>45197</v>
      </c>
      <c r="E39" s="9">
        <v>1.2</v>
      </c>
      <c r="F39" s="9">
        <v>37.200000000000003</v>
      </c>
      <c r="G39" s="18">
        <v>0</v>
      </c>
      <c r="H39" s="9">
        <v>1</v>
      </c>
      <c r="I39" s="9">
        <v>1</v>
      </c>
      <c r="J39" s="9">
        <v>0</v>
      </c>
      <c r="K39" s="9">
        <v>0</v>
      </c>
      <c r="L39" s="9">
        <v>0</v>
      </c>
      <c r="M39" s="17">
        <v>0</v>
      </c>
      <c r="N39" s="54">
        <v>24.5</v>
      </c>
      <c r="O39" s="55">
        <v>23.5</v>
      </c>
      <c r="P39" s="55">
        <v>183</v>
      </c>
      <c r="Q39" s="55">
        <v>0.9</v>
      </c>
      <c r="R39" s="55">
        <v>8</v>
      </c>
      <c r="S39" s="55">
        <v>7.7</v>
      </c>
      <c r="T39" s="56" t="s">
        <v>58</v>
      </c>
      <c r="U39" s="56" t="s">
        <v>58</v>
      </c>
      <c r="V39" s="55">
        <v>226</v>
      </c>
      <c r="W39" s="57">
        <v>5.2</v>
      </c>
      <c r="X39" s="58">
        <v>2360</v>
      </c>
      <c r="Y39" s="59" t="s">
        <v>59</v>
      </c>
      <c r="Z39" s="59">
        <v>366</v>
      </c>
      <c r="AA39" s="59" t="s">
        <v>59</v>
      </c>
      <c r="AB39" s="59">
        <v>455524.1042</v>
      </c>
      <c r="AC39" s="59">
        <v>228.28852334999999</v>
      </c>
      <c r="AD39" s="59">
        <v>9400000</v>
      </c>
      <c r="AE39" s="59">
        <v>2073.1163615</v>
      </c>
      <c r="AF39" s="59">
        <v>962980.31224999996</v>
      </c>
      <c r="AG39" s="60" t="s">
        <v>59</v>
      </c>
      <c r="AH39" s="58">
        <v>746.51330133333329</v>
      </c>
      <c r="AI39" s="59" t="s">
        <v>59</v>
      </c>
      <c r="AJ39" s="59">
        <v>11012.01851533334</v>
      </c>
      <c r="AK39" s="59" t="s">
        <v>59</v>
      </c>
      <c r="AL39" s="59">
        <v>19419.353435000001</v>
      </c>
      <c r="AM39" s="59" t="s">
        <v>59</v>
      </c>
      <c r="AN39" s="59">
        <v>2194.4413920000002</v>
      </c>
      <c r="AO39" s="61" t="s">
        <v>59</v>
      </c>
    </row>
    <row r="40" spans="1:41" x14ac:dyDescent="0.25">
      <c r="A40" s="75" t="s">
        <v>55</v>
      </c>
      <c r="B40" s="78" t="s">
        <v>57</v>
      </c>
      <c r="C40" s="10" t="s">
        <v>51</v>
      </c>
      <c r="D40" s="11">
        <v>44978</v>
      </c>
      <c r="E40" s="10">
        <v>130</v>
      </c>
      <c r="F40" s="10">
        <v>7</v>
      </c>
      <c r="G40" s="13">
        <v>1</v>
      </c>
      <c r="H40" s="10">
        <v>1</v>
      </c>
      <c r="I40" s="10">
        <v>0</v>
      </c>
      <c r="J40" s="10">
        <v>0</v>
      </c>
      <c r="K40" s="10">
        <v>1</v>
      </c>
      <c r="L40" s="10">
        <v>0</v>
      </c>
      <c r="M40" s="12">
        <v>1</v>
      </c>
      <c r="N40" s="39">
        <v>17.3</v>
      </c>
      <c r="O40" s="40">
        <v>10.4</v>
      </c>
      <c r="P40" s="40">
        <v>236</v>
      </c>
      <c r="Q40" s="40">
        <v>4.5</v>
      </c>
      <c r="R40" s="40">
        <v>6.96</v>
      </c>
      <c r="S40" s="40">
        <v>7.2</v>
      </c>
      <c r="T40" s="40">
        <v>45.6</v>
      </c>
      <c r="U40" s="40">
        <v>0.4</v>
      </c>
      <c r="V40" s="40">
        <v>232</v>
      </c>
      <c r="W40" s="62">
        <v>5.5</v>
      </c>
      <c r="X40" s="42">
        <v>6800</v>
      </c>
      <c r="Y40" s="43" t="s">
        <v>59</v>
      </c>
      <c r="Z40" s="43">
        <v>10500</v>
      </c>
      <c r="AA40" s="43" t="s">
        <v>59</v>
      </c>
      <c r="AB40" s="63">
        <v>69495.439976669237</v>
      </c>
      <c r="AC40" s="63">
        <v>1134.9653443744819</v>
      </c>
      <c r="AD40" s="63">
        <v>16.85607173178634</v>
      </c>
      <c r="AE40" s="63">
        <v>8.0788260755023789</v>
      </c>
      <c r="AF40" s="36" t="s">
        <v>58</v>
      </c>
      <c r="AG40" s="37" t="s">
        <v>58</v>
      </c>
      <c r="AH40" s="44" t="s">
        <v>58</v>
      </c>
      <c r="AI40" s="36" t="s">
        <v>58</v>
      </c>
      <c r="AJ40" s="36" t="s">
        <v>58</v>
      </c>
      <c r="AK40" s="36" t="s">
        <v>58</v>
      </c>
      <c r="AL40" s="63">
        <v>60605.985910921998</v>
      </c>
      <c r="AM40" s="63">
        <v>12072.833991448049</v>
      </c>
      <c r="AN40" s="63">
        <v>193.23232021323969</v>
      </c>
      <c r="AO40" s="64">
        <v>93.433604936591408</v>
      </c>
    </row>
    <row r="41" spans="1:41" x14ac:dyDescent="0.25">
      <c r="A41" s="76"/>
      <c r="B41" s="79"/>
      <c r="C41" s="14" t="s">
        <v>51</v>
      </c>
      <c r="D41" s="15">
        <v>44979</v>
      </c>
      <c r="E41" s="14">
        <v>130</v>
      </c>
      <c r="F41" s="14">
        <v>7</v>
      </c>
      <c r="G41" s="2">
        <v>1</v>
      </c>
      <c r="H41" s="14">
        <v>1</v>
      </c>
      <c r="I41" s="14">
        <v>0</v>
      </c>
      <c r="J41" s="14">
        <v>0</v>
      </c>
      <c r="K41" s="14">
        <v>1</v>
      </c>
      <c r="L41" s="14">
        <v>0</v>
      </c>
      <c r="M41" s="1">
        <v>1</v>
      </c>
      <c r="N41" s="46">
        <v>17.3</v>
      </c>
      <c r="O41" s="47">
        <v>10.199999999999999</v>
      </c>
      <c r="P41" s="47">
        <v>207</v>
      </c>
      <c r="Q41" s="47">
        <v>4.5</v>
      </c>
      <c r="R41" s="47">
        <v>6.68</v>
      </c>
      <c r="S41" s="47">
        <v>7.15</v>
      </c>
      <c r="T41" s="47">
        <v>45.6</v>
      </c>
      <c r="U41" s="47">
        <v>0.4</v>
      </c>
      <c r="V41" s="47">
        <v>232</v>
      </c>
      <c r="W41" s="49">
        <v>5.5</v>
      </c>
      <c r="X41" s="50">
        <v>7000</v>
      </c>
      <c r="Y41" s="51">
        <v>0.1</v>
      </c>
      <c r="Z41" s="51">
        <v>11700</v>
      </c>
      <c r="AA41" s="51">
        <v>0.1</v>
      </c>
      <c r="AB41" s="65">
        <v>7294.8613497822207</v>
      </c>
      <c r="AC41" s="65">
        <v>605.17721466317903</v>
      </c>
      <c r="AD41" s="65">
        <v>714.86097228431947</v>
      </c>
      <c r="AE41" s="65">
        <v>8.0065406802166095</v>
      </c>
      <c r="AF41" s="35" t="s">
        <v>58</v>
      </c>
      <c r="AG41" s="38" t="s">
        <v>58</v>
      </c>
      <c r="AH41" s="52" t="s">
        <v>58</v>
      </c>
      <c r="AI41" s="35" t="s">
        <v>58</v>
      </c>
      <c r="AJ41" s="35" t="s">
        <v>58</v>
      </c>
      <c r="AK41" s="35" t="s">
        <v>58</v>
      </c>
      <c r="AL41" s="65">
        <v>30198.735645273591</v>
      </c>
      <c r="AM41" s="65">
        <v>9178.3410009412255</v>
      </c>
      <c r="AN41" s="65">
        <v>108.2386129685289</v>
      </c>
      <c r="AO41" s="66">
        <v>66.665317016093709</v>
      </c>
    </row>
    <row r="42" spans="1:41" x14ac:dyDescent="0.25">
      <c r="A42" s="76"/>
      <c r="B42" s="79"/>
      <c r="C42" s="14" t="s">
        <v>51</v>
      </c>
      <c r="D42" s="15">
        <v>44980</v>
      </c>
      <c r="E42" s="14">
        <v>130</v>
      </c>
      <c r="F42" s="14">
        <v>7</v>
      </c>
      <c r="G42" s="2">
        <v>1</v>
      </c>
      <c r="H42" s="14">
        <v>1</v>
      </c>
      <c r="I42" s="14">
        <v>0</v>
      </c>
      <c r="J42" s="14">
        <v>0</v>
      </c>
      <c r="K42" s="14">
        <v>1</v>
      </c>
      <c r="L42" s="14">
        <v>0</v>
      </c>
      <c r="M42" s="1">
        <v>1</v>
      </c>
      <c r="N42" s="46">
        <v>17.3</v>
      </c>
      <c r="O42" s="47">
        <v>9.8000000000000007</v>
      </c>
      <c r="P42" s="47">
        <v>254</v>
      </c>
      <c r="Q42" s="47">
        <v>4.5</v>
      </c>
      <c r="R42" s="47">
        <v>6.74</v>
      </c>
      <c r="S42" s="47">
        <v>7.23</v>
      </c>
      <c r="T42" s="47">
        <v>45.6</v>
      </c>
      <c r="U42" s="47">
        <v>0.4</v>
      </c>
      <c r="V42" s="47">
        <v>232</v>
      </c>
      <c r="W42" s="49">
        <v>5.5</v>
      </c>
      <c r="X42" s="50">
        <v>9200</v>
      </c>
      <c r="Y42" s="51" t="s">
        <v>59</v>
      </c>
      <c r="Z42" s="51">
        <v>10900</v>
      </c>
      <c r="AA42" s="51" t="s">
        <v>59</v>
      </c>
      <c r="AB42" s="65">
        <v>4928.6244787439446</v>
      </c>
      <c r="AC42" s="65">
        <v>1803.863916318415</v>
      </c>
      <c r="AD42" s="65">
        <v>611.35886248754105</v>
      </c>
      <c r="AE42" s="65">
        <v>16.148949335277511</v>
      </c>
      <c r="AF42" s="35" t="s">
        <v>58</v>
      </c>
      <c r="AG42" s="38" t="s">
        <v>58</v>
      </c>
      <c r="AH42" s="52" t="s">
        <v>58</v>
      </c>
      <c r="AI42" s="35" t="s">
        <v>58</v>
      </c>
      <c r="AJ42" s="35" t="s">
        <v>58</v>
      </c>
      <c r="AK42" s="35" t="s">
        <v>58</v>
      </c>
      <c r="AL42" s="65">
        <v>26930.270717109121</v>
      </c>
      <c r="AM42" s="65">
        <v>15583.12998157485</v>
      </c>
      <c r="AN42" s="65">
        <v>86.055160879610469</v>
      </c>
      <c r="AO42" s="66">
        <v>123.3764367842046</v>
      </c>
    </row>
    <row r="43" spans="1:41" x14ac:dyDescent="0.25">
      <c r="A43" s="76"/>
      <c r="B43" s="79"/>
      <c r="C43" s="14" t="s">
        <v>46</v>
      </c>
      <c r="D43" s="15">
        <v>45055</v>
      </c>
      <c r="E43" s="14">
        <v>130</v>
      </c>
      <c r="F43" s="14">
        <v>7</v>
      </c>
      <c r="G43" s="2">
        <v>1</v>
      </c>
      <c r="H43" s="14">
        <v>1</v>
      </c>
      <c r="I43" s="14">
        <v>0</v>
      </c>
      <c r="J43" s="14">
        <v>0</v>
      </c>
      <c r="K43" s="14">
        <v>1</v>
      </c>
      <c r="L43" s="14">
        <v>0</v>
      </c>
      <c r="M43" s="1">
        <v>1</v>
      </c>
      <c r="N43" s="46">
        <v>19.100000000000001</v>
      </c>
      <c r="O43" s="47">
        <v>10.8</v>
      </c>
      <c r="P43" s="48" t="s">
        <v>58</v>
      </c>
      <c r="Q43" s="48" t="s">
        <v>58</v>
      </c>
      <c r="R43" s="47">
        <v>6.72</v>
      </c>
      <c r="S43" s="47">
        <v>7.23</v>
      </c>
      <c r="T43" s="48" t="s">
        <v>58</v>
      </c>
      <c r="U43" s="48" t="s">
        <v>58</v>
      </c>
      <c r="V43" s="48" t="s">
        <v>58</v>
      </c>
      <c r="W43" s="48" t="s">
        <v>58</v>
      </c>
      <c r="X43" s="50">
        <v>840</v>
      </c>
      <c r="Y43" s="51" t="s">
        <v>59</v>
      </c>
      <c r="Z43" s="51">
        <v>2010</v>
      </c>
      <c r="AA43" s="51" t="s">
        <v>59</v>
      </c>
      <c r="AB43" s="65">
        <v>20568.07262004185</v>
      </c>
      <c r="AC43" s="65">
        <v>611.00993921326426</v>
      </c>
      <c r="AD43" s="65">
        <v>2164.156084793713</v>
      </c>
      <c r="AE43" s="65">
        <v>9.4800012457811196</v>
      </c>
      <c r="AF43" s="35" t="s">
        <v>58</v>
      </c>
      <c r="AG43" s="38" t="s">
        <v>58</v>
      </c>
      <c r="AH43" s="52" t="s">
        <v>58</v>
      </c>
      <c r="AI43" s="35" t="s">
        <v>58</v>
      </c>
      <c r="AJ43" s="65">
        <v>2.1060380603308748</v>
      </c>
      <c r="AK43" s="65" t="s">
        <v>59</v>
      </c>
      <c r="AL43" s="65">
        <v>384.41563338101122</v>
      </c>
      <c r="AM43" s="65">
        <v>9.7810857078415747</v>
      </c>
      <c r="AN43" s="65">
        <v>0.88951086911722277</v>
      </c>
      <c r="AO43" s="66">
        <v>0.15664089502567319</v>
      </c>
    </row>
    <row r="44" spans="1:41" x14ac:dyDescent="0.25">
      <c r="A44" s="76"/>
      <c r="B44" s="79"/>
      <c r="C44" s="14" t="s">
        <v>46</v>
      </c>
      <c r="D44" s="15">
        <v>45056</v>
      </c>
      <c r="E44" s="14">
        <v>130</v>
      </c>
      <c r="F44" s="14">
        <v>7</v>
      </c>
      <c r="G44" s="2">
        <v>1</v>
      </c>
      <c r="H44" s="14">
        <v>1</v>
      </c>
      <c r="I44" s="14">
        <v>0</v>
      </c>
      <c r="J44" s="14">
        <v>0</v>
      </c>
      <c r="K44" s="14">
        <v>1</v>
      </c>
      <c r="L44" s="14">
        <v>0</v>
      </c>
      <c r="M44" s="1">
        <v>1</v>
      </c>
      <c r="N44" s="46">
        <v>9.8000000000000007</v>
      </c>
      <c r="O44" s="47">
        <v>6.8</v>
      </c>
      <c r="P44" s="48" t="s">
        <v>58</v>
      </c>
      <c r="Q44" s="48" t="s">
        <v>58</v>
      </c>
      <c r="R44" s="47">
        <v>6.8</v>
      </c>
      <c r="S44" s="47">
        <v>7.08</v>
      </c>
      <c r="T44" s="48" t="s">
        <v>58</v>
      </c>
      <c r="U44" s="48" t="s">
        <v>58</v>
      </c>
      <c r="V44" s="48" t="s">
        <v>58</v>
      </c>
      <c r="W44" s="48" t="s">
        <v>58</v>
      </c>
      <c r="X44" s="50">
        <v>1210</v>
      </c>
      <c r="Y44" s="51" t="s">
        <v>59</v>
      </c>
      <c r="Z44" s="51">
        <v>1020</v>
      </c>
      <c r="AA44" s="51" t="s">
        <v>59</v>
      </c>
      <c r="AB44" s="65">
        <v>25132.831450151691</v>
      </c>
      <c r="AC44" s="65">
        <v>637.51251127328828</v>
      </c>
      <c r="AD44" s="65">
        <v>4086.2672347518392</v>
      </c>
      <c r="AE44" s="65">
        <v>8.40143730626896</v>
      </c>
      <c r="AF44" s="35" t="s">
        <v>58</v>
      </c>
      <c r="AG44" s="38" t="s">
        <v>58</v>
      </c>
      <c r="AH44" s="52" t="s">
        <v>58</v>
      </c>
      <c r="AI44" s="35" t="s">
        <v>58</v>
      </c>
      <c r="AJ44" s="65">
        <v>0.52129829454666099</v>
      </c>
      <c r="AK44" s="65" t="s">
        <v>59</v>
      </c>
      <c r="AL44" s="65">
        <v>1094.5929708862161</v>
      </c>
      <c r="AM44" s="65">
        <v>3.1319759881124569</v>
      </c>
      <c r="AN44" s="65">
        <v>1.330293481521841</v>
      </c>
      <c r="AO44" s="66">
        <v>0.14718464448492291</v>
      </c>
    </row>
    <row r="45" spans="1:41" x14ac:dyDescent="0.25">
      <c r="A45" s="76"/>
      <c r="B45" s="79"/>
      <c r="C45" s="14" t="s">
        <v>46</v>
      </c>
      <c r="D45" s="15">
        <v>45057</v>
      </c>
      <c r="E45" s="14">
        <v>130</v>
      </c>
      <c r="F45" s="14">
        <v>7</v>
      </c>
      <c r="G45" s="2">
        <v>1</v>
      </c>
      <c r="H45" s="14">
        <v>1</v>
      </c>
      <c r="I45" s="14">
        <v>0</v>
      </c>
      <c r="J45" s="14">
        <v>0</v>
      </c>
      <c r="K45" s="14">
        <v>1</v>
      </c>
      <c r="L45" s="14">
        <v>0</v>
      </c>
      <c r="M45" s="1">
        <v>1</v>
      </c>
      <c r="N45" s="46">
        <v>8.5</v>
      </c>
      <c r="O45" s="47">
        <v>4.7</v>
      </c>
      <c r="P45" s="48" t="s">
        <v>58</v>
      </c>
      <c r="Q45" s="48" t="s">
        <v>58</v>
      </c>
      <c r="R45" s="47">
        <v>6.88</v>
      </c>
      <c r="S45" s="47">
        <v>7.1</v>
      </c>
      <c r="T45" s="48" t="s">
        <v>58</v>
      </c>
      <c r="U45" s="48" t="s">
        <v>58</v>
      </c>
      <c r="V45" s="48" t="s">
        <v>58</v>
      </c>
      <c r="W45" s="48" t="s">
        <v>58</v>
      </c>
      <c r="X45" s="50">
        <v>1330</v>
      </c>
      <c r="Y45" s="51" t="s">
        <v>59</v>
      </c>
      <c r="Z45" s="51">
        <v>1770</v>
      </c>
      <c r="AA45" s="51" t="s">
        <v>59</v>
      </c>
      <c r="AB45" s="65">
        <v>33217.444207727232</v>
      </c>
      <c r="AC45" s="65">
        <v>712.19665102408442</v>
      </c>
      <c r="AD45" s="65">
        <v>4510.6692852516862</v>
      </c>
      <c r="AE45" s="65">
        <v>13.382112319449311</v>
      </c>
      <c r="AF45" s="35" t="s">
        <v>58</v>
      </c>
      <c r="AG45" s="38" t="s">
        <v>58</v>
      </c>
      <c r="AH45" s="52" t="s">
        <v>58</v>
      </c>
      <c r="AI45" s="35" t="s">
        <v>58</v>
      </c>
      <c r="AJ45" s="65">
        <v>1.31334211067919</v>
      </c>
      <c r="AK45" s="65" t="s">
        <v>59</v>
      </c>
      <c r="AL45" s="65">
        <v>793.99771637225422</v>
      </c>
      <c r="AM45" s="65">
        <v>13.70480857368872</v>
      </c>
      <c r="AN45" s="65">
        <v>2.381505716041648</v>
      </c>
      <c r="AO45" s="66">
        <v>0.15979097269181669</v>
      </c>
    </row>
    <row r="46" spans="1:41" x14ac:dyDescent="0.25">
      <c r="A46" s="76"/>
      <c r="B46" s="79"/>
      <c r="C46" s="14" t="s">
        <v>47</v>
      </c>
      <c r="D46" s="15">
        <v>45125</v>
      </c>
      <c r="E46" s="14">
        <v>130</v>
      </c>
      <c r="F46" s="14">
        <v>7</v>
      </c>
      <c r="G46" s="2">
        <v>1</v>
      </c>
      <c r="H46" s="14">
        <v>1</v>
      </c>
      <c r="I46" s="14">
        <v>0</v>
      </c>
      <c r="J46" s="14">
        <v>0</v>
      </c>
      <c r="K46" s="14">
        <v>1</v>
      </c>
      <c r="L46" s="14">
        <v>0</v>
      </c>
      <c r="M46" s="1">
        <v>1</v>
      </c>
      <c r="N46" s="48" t="s">
        <v>58</v>
      </c>
      <c r="O46" s="48" t="s">
        <v>58</v>
      </c>
      <c r="P46" s="48" t="s">
        <v>58</v>
      </c>
      <c r="Q46" s="48" t="s">
        <v>58</v>
      </c>
      <c r="R46" s="48" t="s">
        <v>58</v>
      </c>
      <c r="S46" s="48" t="s">
        <v>58</v>
      </c>
      <c r="T46" s="48" t="s">
        <v>58</v>
      </c>
      <c r="U46" s="48" t="s">
        <v>58</v>
      </c>
      <c r="V46" s="48" t="s">
        <v>58</v>
      </c>
      <c r="W46" s="48" t="s">
        <v>58</v>
      </c>
      <c r="X46" s="50">
        <v>2100</v>
      </c>
      <c r="Y46" s="51" t="s">
        <v>59</v>
      </c>
      <c r="Z46" s="51">
        <v>1850</v>
      </c>
      <c r="AA46" s="51" t="s">
        <v>59</v>
      </c>
      <c r="AB46" s="65">
        <v>27619.161034641249</v>
      </c>
      <c r="AC46" s="65">
        <v>461.88116759871571</v>
      </c>
      <c r="AD46" s="65">
        <v>11223.559955293371</v>
      </c>
      <c r="AE46" s="65">
        <v>53.907350870612049</v>
      </c>
      <c r="AF46" s="35" t="s">
        <v>58</v>
      </c>
      <c r="AG46" s="38" t="s">
        <v>58</v>
      </c>
      <c r="AH46" s="52" t="s">
        <v>58</v>
      </c>
      <c r="AI46" s="35" t="s">
        <v>58</v>
      </c>
      <c r="AJ46" s="65">
        <v>4.7194892585670827</v>
      </c>
      <c r="AK46" s="65" t="s">
        <v>59</v>
      </c>
      <c r="AL46" s="65">
        <v>129.89087370327979</v>
      </c>
      <c r="AM46" s="65">
        <v>3.6889089022704531</v>
      </c>
      <c r="AN46" s="65">
        <v>1.530265380365067</v>
      </c>
      <c r="AO46" s="66">
        <v>0.20551037793063931</v>
      </c>
    </row>
    <row r="47" spans="1:41" x14ac:dyDescent="0.25">
      <c r="A47" s="76"/>
      <c r="B47" s="79"/>
      <c r="C47" s="14" t="s">
        <v>47</v>
      </c>
      <c r="D47" s="15">
        <v>45126</v>
      </c>
      <c r="E47" s="14">
        <v>130</v>
      </c>
      <c r="F47" s="14">
        <v>7</v>
      </c>
      <c r="G47" s="2">
        <v>1</v>
      </c>
      <c r="H47" s="14">
        <v>1</v>
      </c>
      <c r="I47" s="14">
        <v>0</v>
      </c>
      <c r="J47" s="14">
        <v>0</v>
      </c>
      <c r="K47" s="14">
        <v>1</v>
      </c>
      <c r="L47" s="14">
        <v>0</v>
      </c>
      <c r="M47" s="1">
        <v>1</v>
      </c>
      <c r="N47" s="48" t="s">
        <v>58</v>
      </c>
      <c r="O47" s="48" t="s">
        <v>58</v>
      </c>
      <c r="P47" s="48" t="s">
        <v>58</v>
      </c>
      <c r="Q47" s="48" t="s">
        <v>58</v>
      </c>
      <c r="R47" s="48" t="s">
        <v>58</v>
      </c>
      <c r="S47" s="48" t="s">
        <v>58</v>
      </c>
      <c r="T47" s="48" t="s">
        <v>58</v>
      </c>
      <c r="U47" s="48" t="s">
        <v>58</v>
      </c>
      <c r="V47" s="48" t="s">
        <v>58</v>
      </c>
      <c r="W47" s="48" t="s">
        <v>58</v>
      </c>
      <c r="X47" s="50">
        <v>2490</v>
      </c>
      <c r="Y47" s="51" t="s">
        <v>59</v>
      </c>
      <c r="Z47" s="51">
        <v>1830</v>
      </c>
      <c r="AA47" s="51" t="s">
        <v>59</v>
      </c>
      <c r="AB47" s="65">
        <v>24984.86260864127</v>
      </c>
      <c r="AC47" s="65">
        <v>456.78995393020318</v>
      </c>
      <c r="AD47" s="65">
        <v>4548.9646539341966</v>
      </c>
      <c r="AE47" s="65">
        <v>43.120073160214147</v>
      </c>
      <c r="AF47" s="35" t="s">
        <v>58</v>
      </c>
      <c r="AG47" s="38" t="s">
        <v>58</v>
      </c>
      <c r="AH47" s="52" t="s">
        <v>58</v>
      </c>
      <c r="AI47" s="35" t="s">
        <v>58</v>
      </c>
      <c r="AJ47" s="65">
        <v>2.3844849170871369</v>
      </c>
      <c r="AK47" s="65" t="s">
        <v>59</v>
      </c>
      <c r="AL47" s="65">
        <v>74.770432174912273</v>
      </c>
      <c r="AM47" s="65">
        <v>0.22672510289810471</v>
      </c>
      <c r="AN47" s="65">
        <v>0.91036065679710165</v>
      </c>
      <c r="AO47" s="66">
        <v>0.26854340732113652</v>
      </c>
    </row>
    <row r="48" spans="1:41" x14ac:dyDescent="0.25">
      <c r="A48" s="76"/>
      <c r="B48" s="79"/>
      <c r="C48" s="14" t="s">
        <v>47</v>
      </c>
      <c r="D48" s="15">
        <v>45127</v>
      </c>
      <c r="E48" s="14">
        <v>130</v>
      </c>
      <c r="F48" s="14">
        <v>7</v>
      </c>
      <c r="G48" s="2">
        <v>1</v>
      </c>
      <c r="H48" s="14">
        <v>1</v>
      </c>
      <c r="I48" s="14">
        <v>0</v>
      </c>
      <c r="J48" s="14">
        <v>0</v>
      </c>
      <c r="K48" s="14">
        <v>1</v>
      </c>
      <c r="L48" s="14">
        <v>0</v>
      </c>
      <c r="M48" s="1">
        <v>1</v>
      </c>
      <c r="N48" s="48" t="s">
        <v>58</v>
      </c>
      <c r="O48" s="48" t="s">
        <v>58</v>
      </c>
      <c r="P48" s="48" t="s">
        <v>58</v>
      </c>
      <c r="Q48" s="48" t="s">
        <v>58</v>
      </c>
      <c r="R48" s="48" t="s">
        <v>58</v>
      </c>
      <c r="S48" s="48" t="s">
        <v>58</v>
      </c>
      <c r="T48" s="48" t="s">
        <v>58</v>
      </c>
      <c r="U48" s="48" t="s">
        <v>58</v>
      </c>
      <c r="V48" s="48" t="s">
        <v>58</v>
      </c>
      <c r="W48" s="48" t="s">
        <v>58</v>
      </c>
      <c r="X48" s="50">
        <v>1570</v>
      </c>
      <c r="Y48" s="51" t="s">
        <v>59</v>
      </c>
      <c r="Z48" s="51">
        <v>1040</v>
      </c>
      <c r="AA48" s="51" t="s">
        <v>59</v>
      </c>
      <c r="AB48" s="65">
        <v>23565.583551947289</v>
      </c>
      <c r="AC48" s="65">
        <v>1596.60480729345</v>
      </c>
      <c r="AD48" s="65">
        <v>12078.86807068393</v>
      </c>
      <c r="AE48" s="65">
        <v>120.4852315859812</v>
      </c>
      <c r="AF48" s="35" t="s">
        <v>58</v>
      </c>
      <c r="AG48" s="38" t="s">
        <v>58</v>
      </c>
      <c r="AH48" s="52" t="s">
        <v>58</v>
      </c>
      <c r="AI48" s="35" t="s">
        <v>58</v>
      </c>
      <c r="AJ48" s="65">
        <v>5.4897735307238751</v>
      </c>
      <c r="AK48" s="65" t="s">
        <v>59</v>
      </c>
      <c r="AL48" s="65">
        <v>254.5575793534162</v>
      </c>
      <c r="AM48" s="65">
        <v>9.4454336293411316</v>
      </c>
      <c r="AN48" s="65">
        <v>1.26851174643025</v>
      </c>
      <c r="AO48" s="66">
        <v>0.26466621616169872</v>
      </c>
    </row>
    <row r="49" spans="1:41" x14ac:dyDescent="0.25">
      <c r="A49" s="76"/>
      <c r="B49" s="79"/>
      <c r="C49" s="14" t="s">
        <v>48</v>
      </c>
      <c r="D49" s="15">
        <v>44867</v>
      </c>
      <c r="E49" s="14">
        <v>130</v>
      </c>
      <c r="F49" s="14">
        <v>7</v>
      </c>
      <c r="G49" s="2">
        <v>1</v>
      </c>
      <c r="H49" s="14">
        <v>1</v>
      </c>
      <c r="I49" s="14">
        <v>0</v>
      </c>
      <c r="J49" s="14">
        <v>0</v>
      </c>
      <c r="K49" s="14">
        <v>1</v>
      </c>
      <c r="L49" s="14">
        <v>0</v>
      </c>
      <c r="M49" s="1">
        <v>1</v>
      </c>
      <c r="N49" s="46">
        <v>8.1999999999999993</v>
      </c>
      <c r="O49" s="47">
        <v>9.9</v>
      </c>
      <c r="P49" s="48" t="s">
        <v>58</v>
      </c>
      <c r="Q49" s="48" t="s">
        <v>59</v>
      </c>
      <c r="R49" s="47">
        <v>7.05</v>
      </c>
      <c r="S49" s="47">
        <v>6.52</v>
      </c>
      <c r="T49" s="48" t="s">
        <v>58</v>
      </c>
      <c r="U49" s="48" t="s">
        <v>58</v>
      </c>
      <c r="V49" s="47">
        <v>121</v>
      </c>
      <c r="W49" s="48" t="s">
        <v>58</v>
      </c>
      <c r="X49" s="50">
        <v>6033.3</v>
      </c>
      <c r="Y49" s="51">
        <v>0.2</v>
      </c>
      <c r="Z49" s="51">
        <v>6766.7</v>
      </c>
      <c r="AA49" s="51" t="s">
        <v>59</v>
      </c>
      <c r="AB49" s="65">
        <v>351034.48897549702</v>
      </c>
      <c r="AC49" s="65">
        <v>1632.3640298718501</v>
      </c>
      <c r="AD49" s="65">
        <v>4562.8223144590447</v>
      </c>
      <c r="AE49" s="65">
        <v>9.9100914537572891</v>
      </c>
      <c r="AF49" s="35" t="s">
        <v>58</v>
      </c>
      <c r="AG49" s="38" t="s">
        <v>58</v>
      </c>
      <c r="AH49" s="52" t="s">
        <v>58</v>
      </c>
      <c r="AI49" s="35" t="s">
        <v>58</v>
      </c>
      <c r="AJ49" s="65">
        <v>7.7840697507557302</v>
      </c>
      <c r="AK49" s="65" t="s">
        <v>59</v>
      </c>
      <c r="AL49" s="65">
        <v>407.25289556262197</v>
      </c>
      <c r="AM49" s="65" t="s">
        <v>59</v>
      </c>
      <c r="AN49" s="65">
        <v>2.9113737072051</v>
      </c>
      <c r="AO49" s="66">
        <v>7.1874684023419996E-2</v>
      </c>
    </row>
    <row r="50" spans="1:41" ht="15.75" thickBot="1" x14ac:dyDescent="0.3">
      <c r="A50" s="77"/>
      <c r="B50" s="80"/>
      <c r="C50" s="9" t="s">
        <v>48</v>
      </c>
      <c r="D50" s="16">
        <v>44868</v>
      </c>
      <c r="E50" s="9">
        <v>130</v>
      </c>
      <c r="F50" s="9">
        <v>7</v>
      </c>
      <c r="G50" s="18">
        <v>1</v>
      </c>
      <c r="H50" s="9">
        <v>1</v>
      </c>
      <c r="I50" s="9">
        <v>0</v>
      </c>
      <c r="J50" s="9">
        <v>0</v>
      </c>
      <c r="K50" s="9">
        <v>1</v>
      </c>
      <c r="L50" s="9">
        <v>0</v>
      </c>
      <c r="M50" s="17">
        <v>1</v>
      </c>
      <c r="N50" s="54">
        <v>7.6</v>
      </c>
      <c r="O50" s="55">
        <v>6.7</v>
      </c>
      <c r="P50" s="56" t="s">
        <v>58</v>
      </c>
      <c r="Q50" s="55">
        <v>1</v>
      </c>
      <c r="R50" s="55">
        <v>7.02</v>
      </c>
      <c r="S50" s="55">
        <v>6.54</v>
      </c>
      <c r="T50" s="56" t="s">
        <v>58</v>
      </c>
      <c r="U50" s="56" t="s">
        <v>58</v>
      </c>
      <c r="V50" s="55">
        <v>142.5</v>
      </c>
      <c r="W50" s="56" t="s">
        <v>58</v>
      </c>
      <c r="X50" s="67">
        <v>14600</v>
      </c>
      <c r="Y50" s="68">
        <v>0.3</v>
      </c>
      <c r="Z50" s="68">
        <v>15466.7</v>
      </c>
      <c r="AA50" s="68" t="s">
        <v>59</v>
      </c>
      <c r="AB50" s="69">
        <v>64602.013922990598</v>
      </c>
      <c r="AC50" s="69">
        <v>1491.53775507465</v>
      </c>
      <c r="AD50" s="69">
        <v>602.54813445656009</v>
      </c>
      <c r="AE50" s="69">
        <v>7.3815934428684944</v>
      </c>
      <c r="AF50" s="59" t="s">
        <v>58</v>
      </c>
      <c r="AG50" s="60" t="s">
        <v>58</v>
      </c>
      <c r="AH50" s="58" t="s">
        <v>58</v>
      </c>
      <c r="AI50" s="59" t="s">
        <v>58</v>
      </c>
      <c r="AJ50" s="69">
        <v>4.08321973371035</v>
      </c>
      <c r="AK50" s="69" t="s">
        <v>59</v>
      </c>
      <c r="AL50" s="69">
        <v>146.85000350229271</v>
      </c>
      <c r="AM50" s="69">
        <v>3.8097627997215548</v>
      </c>
      <c r="AN50" s="69">
        <v>1.2232311178359201</v>
      </c>
      <c r="AO50" s="70">
        <v>0.24577999644859791</v>
      </c>
    </row>
  </sheetData>
  <mergeCells count="14">
    <mergeCell ref="A40:A50"/>
    <mergeCell ref="B40:B50"/>
    <mergeCell ref="A12:A19"/>
    <mergeCell ref="B12:B19"/>
    <mergeCell ref="A20:A28"/>
    <mergeCell ref="B20:B28"/>
    <mergeCell ref="A29:A39"/>
    <mergeCell ref="B29:B39"/>
    <mergeCell ref="G2:M2"/>
    <mergeCell ref="N2:W2"/>
    <mergeCell ref="X2:AG2"/>
    <mergeCell ref="AH2:AO2"/>
    <mergeCell ref="A3:A11"/>
    <mergeCell ref="B3:B11"/>
  </mergeCells>
  <conditionalFormatting sqref="N12:N19 Q12:S19 T29:U30">
    <cfRule type="containsText" dxfId="63" priority="117" operator="containsText" text="#">
      <formula>NOT(ISERROR(SEARCH("#",N12)))</formula>
    </cfRule>
    <cfRule type="cellIs" dxfId="62" priority="118" operator="equal">
      <formula>0</formula>
    </cfRule>
  </conditionalFormatting>
  <conditionalFormatting sqref="N46:O48">
    <cfRule type="containsText" dxfId="61" priority="55" operator="containsText" text="#">
      <formula>NOT(ISERROR(SEARCH("#",N46)))</formula>
    </cfRule>
    <cfRule type="cellIs" dxfId="60" priority="56" operator="equal">
      <formula>0</formula>
    </cfRule>
  </conditionalFormatting>
  <conditionalFormatting sqref="O15:O16">
    <cfRule type="containsText" dxfId="59" priority="115" operator="containsText" text="#">
      <formula>NOT(ISERROR(SEARCH("#",O15)))</formula>
    </cfRule>
    <cfRule type="cellIs" dxfId="58" priority="116" operator="equal">
      <formula>0</formula>
    </cfRule>
  </conditionalFormatting>
  <conditionalFormatting sqref="P29:Q29">
    <cfRule type="containsText" dxfId="51" priority="41" operator="containsText" text="#">
      <formula>NOT(ISERROR(SEARCH("#",P29)))</formula>
    </cfRule>
    <cfRule type="cellIs" dxfId="50" priority="42" operator="equal">
      <formula>0</formula>
    </cfRule>
  </conditionalFormatting>
  <conditionalFormatting sqref="P31:Q31">
    <cfRule type="containsText" dxfId="49" priority="39" operator="containsText" text="#">
      <formula>NOT(ISERROR(SEARCH("#",P31)))</formula>
    </cfRule>
    <cfRule type="cellIs" dxfId="48" priority="40" operator="equal">
      <formula>0</formula>
    </cfRule>
  </conditionalFormatting>
  <conditionalFormatting sqref="P36:Q37">
    <cfRule type="containsText" dxfId="47" priority="43" operator="containsText" text="#">
      <formula>NOT(ISERROR(SEARCH("#",P36)))</formula>
    </cfRule>
    <cfRule type="cellIs" dxfId="46" priority="44" operator="equal">
      <formula>0</formula>
    </cfRule>
  </conditionalFormatting>
  <conditionalFormatting sqref="P43:Q48">
    <cfRule type="containsText" dxfId="45" priority="57" operator="containsText" text="#">
      <formula>NOT(ISERROR(SEARCH("#",P43)))</formula>
    </cfRule>
    <cfRule type="cellIs" dxfId="44" priority="58" operator="equal">
      <formula>0</formula>
    </cfRule>
  </conditionalFormatting>
  <conditionalFormatting sqref="R46:W48">
    <cfRule type="containsText" dxfId="41" priority="53" operator="containsText" text="#">
      <formula>NOT(ISERROR(SEARCH("#",R46)))</formula>
    </cfRule>
    <cfRule type="cellIs" dxfId="40" priority="54" operator="equal">
      <formula>0</formula>
    </cfRule>
  </conditionalFormatting>
  <conditionalFormatting sqref="T32:U32">
    <cfRule type="containsText" dxfId="37" priority="71" operator="containsText" text="#">
      <formula>NOT(ISERROR(SEARCH("#",T32)))</formula>
    </cfRule>
    <cfRule type="cellIs" dxfId="36" priority="72" operator="equal">
      <formula>0</formula>
    </cfRule>
  </conditionalFormatting>
  <conditionalFormatting sqref="T34:U37">
    <cfRule type="containsText" dxfId="35" priority="69" operator="containsText" text="#">
      <formula>NOT(ISERROR(SEARCH("#",T34)))</formula>
    </cfRule>
    <cfRule type="cellIs" dxfId="34" priority="70" operator="equal">
      <formula>0</formula>
    </cfRule>
  </conditionalFormatting>
  <conditionalFormatting sqref="T39:U39">
    <cfRule type="containsText" dxfId="33" priority="67" operator="containsText" text="#">
      <formula>NOT(ISERROR(SEARCH("#",T39)))</formula>
    </cfRule>
    <cfRule type="cellIs" dxfId="32" priority="68" operator="equal">
      <formula>0</formula>
    </cfRule>
  </conditionalFormatting>
  <conditionalFormatting sqref="T43:W45">
    <cfRule type="containsText" dxfId="31" priority="47" operator="containsText" text="#">
      <formula>NOT(ISERROR(SEARCH("#",T43)))</formula>
    </cfRule>
    <cfRule type="cellIs" dxfId="30" priority="48" operator="equal">
      <formula>0</formula>
    </cfRule>
  </conditionalFormatting>
  <conditionalFormatting sqref="U12">
    <cfRule type="containsText" dxfId="29" priority="3" operator="containsText" text="#">
      <formula>NOT(ISERROR(SEARCH("#",U12)))</formula>
    </cfRule>
    <cfRule type="cellIs" dxfId="28" priority="4" operator="equal">
      <formula>0</formula>
    </cfRule>
  </conditionalFormatting>
  <conditionalFormatting sqref="U14:U19">
    <cfRule type="containsText" dxfId="27" priority="5" operator="containsText" text="#">
      <formula>NOT(ISERROR(SEARCH("#",U14)))</formula>
    </cfRule>
    <cfRule type="cellIs" dxfId="26" priority="6" operator="equal">
      <formula>0</formula>
    </cfRule>
  </conditionalFormatting>
  <conditionalFormatting sqref="V11">
    <cfRule type="containsText" dxfId="19" priority="1" operator="containsText" text="#">
      <formula>NOT(ISERROR(SEARCH("#",V11)))</formula>
    </cfRule>
    <cfRule type="cellIs" dxfId="18" priority="2" operator="equal">
      <formula>0</formula>
    </cfRule>
  </conditionalFormatting>
  <conditionalFormatting sqref="V5:W5">
    <cfRule type="containsText" dxfId="17" priority="139" operator="containsText" text="#">
      <formula>NOT(ISERROR(SEARCH("#",V5)))</formula>
    </cfRule>
    <cfRule type="cellIs" dxfId="16" priority="140" operator="equal">
      <formula>0</formula>
    </cfRule>
  </conditionalFormatting>
  <conditionalFormatting sqref="V19:W19">
    <cfRule type="containsText" dxfId="15" priority="83" operator="containsText" text="#">
      <formula>NOT(ISERROR(SEARCH("#",V19)))</formula>
    </cfRule>
    <cfRule type="cellIs" dxfId="14" priority="84" operator="equal">
      <formula>0</formula>
    </cfRule>
  </conditionalFormatting>
  <conditionalFormatting sqref="V31:W31">
    <cfRule type="containsText" dxfId="13" priority="63" operator="containsText" text="#">
      <formula>NOT(ISERROR(SEARCH("#",V31)))</formula>
    </cfRule>
    <cfRule type="cellIs" dxfId="12" priority="64" operator="equal">
      <formula>0</formula>
    </cfRule>
  </conditionalFormatting>
  <conditionalFormatting sqref="V36:W37">
    <cfRule type="containsText" dxfId="11" priority="65" operator="containsText" text="#">
      <formula>NOT(ISERROR(SEARCH("#",V36)))</formula>
    </cfRule>
    <cfRule type="cellIs" dxfId="10" priority="66" operator="equal">
      <formula>0</formula>
    </cfRule>
  </conditionalFormatting>
  <conditionalFormatting sqref="W11:W14">
    <cfRule type="containsText" dxfId="9" priority="91" operator="containsText" text="#">
      <formula>NOT(ISERROR(SEARCH("#",W11)))</formula>
    </cfRule>
    <cfRule type="cellIs" dxfId="8" priority="92" operator="equal">
      <formula>0</formula>
    </cfRule>
  </conditionalFormatting>
  <conditionalFormatting sqref="W16:W17">
    <cfRule type="containsText" dxfId="7" priority="87" operator="containsText" text="#">
      <formula>NOT(ISERROR(SEARCH("#",W16)))</formula>
    </cfRule>
    <cfRule type="cellIs" dxfId="6" priority="88" operator="equal">
      <formula>0</formula>
    </cfRule>
  </conditionalFormatting>
  <conditionalFormatting sqref="W29">
    <cfRule type="containsText" dxfId="5" priority="61" operator="containsText" text="#">
      <formula>NOT(ISERROR(SEARCH("#",W29)))</formula>
    </cfRule>
    <cfRule type="cellIs" dxfId="4" priority="62" operator="equal">
      <formula>0</formula>
    </cfRule>
  </conditionalFormatting>
  <conditionalFormatting sqref="W49:W50">
    <cfRule type="containsText" dxfId="3" priority="51" operator="containsText" text="#">
      <formula>NOT(ISERROR(SEARCH("#",W49)))</formula>
    </cfRule>
    <cfRule type="cellIs" dxfId="2" priority="52" operator="equal">
      <formula>0</formula>
    </cfRule>
  </conditionalFormatting>
  <conditionalFormatting sqref="X3:AO50 Q49 P49:P50 T49:U50">
    <cfRule type="containsText" dxfId="1" priority="31" operator="containsText" text="#">
      <formula>NOT(ISERROR(SEARCH("#",P3)))</formula>
    </cfRule>
    <cfRule type="cellIs" dxfId="0" priority="3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Pooria Ghorbani</dc:creator>
  <cp:lastModifiedBy>Pooria Ghorbani Bam</cp:lastModifiedBy>
  <dcterms:created xsi:type="dcterms:W3CDTF">2015-06-05T18:17:20Z</dcterms:created>
  <dcterms:modified xsi:type="dcterms:W3CDTF">2026-03-12T04:46:33Z</dcterms:modified>
</cp:coreProperties>
</file>